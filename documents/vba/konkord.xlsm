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цены\конкорд-дмитров\"/>
    </mc:Choice>
  </mc:AlternateContent>
  <xr:revisionPtr revIDLastSave="0" documentId="13_ncr:1_{E7101366-9953-4C79-BD6C-26D6F0A73EF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original-bn" sheetId="10" r:id="rId1"/>
    <sheet name="original-n" sheetId="8" r:id="rId2"/>
    <sheet name="codes" sheetId="7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7" l="1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1" i="7"/>
</calcChain>
</file>

<file path=xl/sharedStrings.xml><?xml version="1.0" encoding="utf-8"?>
<sst xmlns="http://schemas.openxmlformats.org/spreadsheetml/2006/main" count="716" uniqueCount="231">
  <si>
    <t>Цены действительны с</t>
  </si>
  <si>
    <t>Наименование</t>
  </si>
  <si>
    <t>Производитель</t>
  </si>
  <si>
    <t>Цена</t>
  </si>
  <si>
    <t>Конкорд</t>
  </si>
  <si>
    <t>ГОСТ</t>
  </si>
  <si>
    <t>ВВГ-Пнг(А)-LS 2х1,5(N, PE) - 0,66</t>
  </si>
  <si>
    <t>ПВС 2x0,75</t>
  </si>
  <si>
    <t>NYM-J 3х1,5 - 0,66</t>
  </si>
  <si>
    <t>Севкабель</t>
  </si>
  <si>
    <t>ВВГ-Пнг(А)-LS 3х1,5(N, PE) - 0,66</t>
  </si>
  <si>
    <t>ПВС 2х1,5</t>
  </si>
  <si>
    <t>ВВГ-Пнг(А)-LS 3х2,5(N, PE) - 0,66</t>
  </si>
  <si>
    <t>ПВС 2х2,5</t>
  </si>
  <si>
    <t>ВВГ-Пнг(А)-LS 3х4(N, PE) - 0,66</t>
  </si>
  <si>
    <t>ПВС 2x4</t>
  </si>
  <si>
    <t>NUM-O 2х1,5 - 0,66</t>
  </si>
  <si>
    <t>ПВС 2x6</t>
  </si>
  <si>
    <t>NUM-O 2х2,5 - 0,66</t>
  </si>
  <si>
    <t>ВВГнг(A)-LS 2х1,5(N) - 0,66</t>
  </si>
  <si>
    <t>ПВС 3x0,75</t>
  </si>
  <si>
    <t>NUM-J 3х1,5 - 0,66</t>
  </si>
  <si>
    <t>ВВГнг(A)-LS 2х2,5(N) - 0,66</t>
  </si>
  <si>
    <t>ПВС 3х1,5</t>
  </si>
  <si>
    <t>NUM-J 3х2,5 - 0,66</t>
  </si>
  <si>
    <t>ВВГнг(A)-LS 2х4(N) - 0,66</t>
  </si>
  <si>
    <t>ПВС 3х2,5</t>
  </si>
  <si>
    <t>NUM-J 3х4 - 0,66</t>
  </si>
  <si>
    <t>ВВГнг(A)-LS 2х6(N) - 0,66</t>
  </si>
  <si>
    <t>ПВС 3х4</t>
  </si>
  <si>
    <t>NUM-J 3х6 - 0,66</t>
  </si>
  <si>
    <t>ВВГнг(A)-LS 3х1,5(N, PE) - 0,66</t>
  </si>
  <si>
    <t>ПВС 3х6</t>
  </si>
  <si>
    <t>NUM-J 4х1,5 - 0,66</t>
  </si>
  <si>
    <t>ВВГнг(A)-LS 3х2,5(N, PE) - 0,66</t>
  </si>
  <si>
    <t>ПВС 3x10</t>
  </si>
  <si>
    <t>NUM-J 4х2,5 - 0,66</t>
  </si>
  <si>
    <t>ВВГнг(A)-LS 3х4(N, PE) - 0,66</t>
  </si>
  <si>
    <t>ПВС 4x0,75</t>
  </si>
  <si>
    <t>NUM-J 4х4 - 0,66</t>
  </si>
  <si>
    <t>ВВГнг(A)-LS 3х6(N, PE) - 0,66</t>
  </si>
  <si>
    <t>ПВС 4х1,5</t>
  </si>
  <si>
    <t>NUM-J 4х6 - 0,66</t>
  </si>
  <si>
    <t>ВВГнг(A)-LS 3х10(N, PE) - 0,66</t>
  </si>
  <si>
    <t>ПВС 4х2,5</t>
  </si>
  <si>
    <t>NUM-J 5х1,5 - 0,66</t>
  </si>
  <si>
    <t>ВВГнг(A)-LS 4х1,5(N) - 0,66</t>
  </si>
  <si>
    <t>ПВС 4х4</t>
  </si>
  <si>
    <t>NUM-J 5х2,5 - 0,66</t>
  </si>
  <si>
    <t>ВВГнг(A)-LS 4х2,5(N) - 0,66</t>
  </si>
  <si>
    <t>ПВС 4х6</t>
  </si>
  <si>
    <t>NUM-J 5х4 - 0,66</t>
  </si>
  <si>
    <t>ВВГнг(A)-LS 4х4(N) - 0,66</t>
  </si>
  <si>
    <t>ПВС 4x10</t>
  </si>
  <si>
    <t>NUM-J 5х6 - 0,66</t>
  </si>
  <si>
    <t>ВВГнг(A)-LS 4х6(N) - 0,66</t>
  </si>
  <si>
    <t>ПВС 4x16</t>
  </si>
  <si>
    <t>ВВГнг(A)-LS 4х10(N) - 0,66</t>
  </si>
  <si>
    <t>ПВС 5x0,75</t>
  </si>
  <si>
    <t>Дмитров-Кабель</t>
  </si>
  <si>
    <t>ВВГнг(A)-LS 4х16(N) - 0,66</t>
  </si>
  <si>
    <t>ПВС 5х1,5</t>
  </si>
  <si>
    <t>ВВГнг(A)-LS 5х1,5(N, PE) - 0,66</t>
  </si>
  <si>
    <t>ПВС 5х2,5</t>
  </si>
  <si>
    <t>ВВГнг(A)-LS 5х2,5(N, PE) - 0,66</t>
  </si>
  <si>
    <t>ПВС 5х4</t>
  </si>
  <si>
    <t>ВВГнг(A)-LS 5х4(N, PE) - 0,66</t>
  </si>
  <si>
    <t>ПВС 5х6</t>
  </si>
  <si>
    <t>ВВГнг(A)-LS 5х6(N, PE) - 0,66</t>
  </si>
  <si>
    <t>ПВС 5x10</t>
  </si>
  <si>
    <t>ВВГнг(A)-LS 5х10(N, PE) - 0,66</t>
  </si>
  <si>
    <t>ПВС 5x16</t>
  </si>
  <si>
    <t>ВВГнг(A)-LS 5х16(N, PE) - 0,66</t>
  </si>
  <si>
    <t>ВВГнг(A)-LS 5х25(N, PE) - 0,66</t>
  </si>
  <si>
    <t>ШВВП  2х0,5</t>
  </si>
  <si>
    <t>ВВГнг(A)-LS 5х35(N, PE) - 0,66</t>
  </si>
  <si>
    <t>ШВВП  2х0,75</t>
  </si>
  <si>
    <t>КГ тп 1х16- 0,66</t>
  </si>
  <si>
    <t>КГ тп 1х35- 0,66</t>
  </si>
  <si>
    <t>КГ тп 2х1,5- 0,66</t>
  </si>
  <si>
    <t>КГ тп 2х2,5- 0,66</t>
  </si>
  <si>
    <t>ВБШв 3*1,5 -0,66</t>
  </si>
  <si>
    <t>КГ тп 2х4- 0,66</t>
  </si>
  <si>
    <t>ВБШв 3*2,5 -0,66</t>
  </si>
  <si>
    <t>КГ тп 3х1,5- 0,66</t>
  </si>
  <si>
    <t>ВБШв 3*4 -0,66</t>
  </si>
  <si>
    <t>КГ тп 3х2,5- 0,66</t>
  </si>
  <si>
    <t>ВБШв 3*6 -0,66</t>
  </si>
  <si>
    <t>КГ тп 3х4- 0,66</t>
  </si>
  <si>
    <t>КГ тп 4х1,5- 0,66</t>
  </si>
  <si>
    <t>ВБШв 4*4 -0,66</t>
  </si>
  <si>
    <t>КГ тп 4х2,5- 0,66</t>
  </si>
  <si>
    <t>ВБШв 4*6 -0,66</t>
  </si>
  <si>
    <t>КГ тп 4х4- 0,66</t>
  </si>
  <si>
    <t>ВБШв 4*10 -0,66</t>
  </si>
  <si>
    <t>КГ тп 4х6- 0,66</t>
  </si>
  <si>
    <t>ВБШв 4*16 -0,66</t>
  </si>
  <si>
    <t>КГ тп 4х10- 0,66</t>
  </si>
  <si>
    <t>КГ тп 4х16- 0,66</t>
  </si>
  <si>
    <t>ВБШв 5*1,5 -0,66</t>
  </si>
  <si>
    <t>КГ тп 5х1,5- 0,66</t>
  </si>
  <si>
    <t>ВБШв 5*2,5 -0,66</t>
  </si>
  <si>
    <t>КГ тп 5х2,5- 0,66</t>
  </si>
  <si>
    <t>ВБШв 5*4 -0,66</t>
  </si>
  <si>
    <t>КГ тп 5х4- 0,66</t>
  </si>
  <si>
    <t>ВБШв 5*6 -0,66</t>
  </si>
  <si>
    <t>КГ тп 5х6- 0,66</t>
  </si>
  <si>
    <t>ВБШв 5*10 -0,66</t>
  </si>
  <si>
    <t>КГ тп 5х10- 0,66</t>
  </si>
  <si>
    <t>ВБШв 5*16 -0,66</t>
  </si>
  <si>
    <t>СИП-4 2*16</t>
  </si>
  <si>
    <t>КОНКОРД</t>
  </si>
  <si>
    <t>СИП-4 4*16</t>
  </si>
  <si>
    <t>СИП-4 4*25</t>
  </si>
  <si>
    <t>ВВГнг(А)-FRLS 2х1,5(N) - 1</t>
  </si>
  <si>
    <t>РКГМ 1,5</t>
  </si>
  <si>
    <t>ВВГнг(А)-FRLS 2х2,5(N) - 1</t>
  </si>
  <si>
    <t>РКГМ 2,5</t>
  </si>
  <si>
    <t>ВВГнг(А)-FRLS 3х1,5(N, PE) - 0.66</t>
  </si>
  <si>
    <t>РКГМ 4</t>
  </si>
  <si>
    <t>РКГМ 6</t>
  </si>
  <si>
    <t>ВВГнг(А)-FRLS 3х2,5(N, PE) - 0.66</t>
  </si>
  <si>
    <t>ПуГВ 4</t>
  </si>
  <si>
    <t>ВВГнг(А)-FRLS 3х4(N, PE) - 1</t>
  </si>
  <si>
    <t>ПуГВ 6</t>
  </si>
  <si>
    <t>ВВГнг(А)-FRLS 3х6(N, PE) - 1</t>
  </si>
  <si>
    <t>ПуГВ  10</t>
  </si>
  <si>
    <t>ВВГнг(А)-FRLS 5х1,5(N, PE) - 1</t>
  </si>
  <si>
    <t>ПуГВ  16</t>
  </si>
  <si>
    <t>ВВГнг(А)-FRLS 5х2,5(N, PE) - 1</t>
  </si>
  <si>
    <t>ПуГВ  25</t>
  </si>
  <si>
    <t>ВВГнг(А)-FRLS 5х4(N, PE) - 1</t>
  </si>
  <si>
    <t>ПуГВ  35</t>
  </si>
  <si>
    <t>ВВГнг(А)-FRLS 5х6(N, PE) - 1</t>
  </si>
  <si>
    <t>ВВГнг(А)-FRLS 5х10(N, PE) - 1</t>
  </si>
  <si>
    <t>ВВГнг(А)-FRLS 5х16(N, PE) - 1</t>
  </si>
  <si>
    <t>SAT 703 (Италия)</t>
  </si>
  <si>
    <t xml:space="preserve">Cavel </t>
  </si>
  <si>
    <t>АВБШв 4*16 -0,66</t>
  </si>
  <si>
    <t>NYM-J 3х2,5 - 0,66</t>
  </si>
  <si>
    <t>ВВГ-Пнг(А)-LS 2х2,5(N, PE) - 0,66</t>
  </si>
  <si>
    <t>ВВГнг(A)-LS 4х25(N) - 0,66</t>
  </si>
  <si>
    <t>ВВГнг(A)-LS 5х50(N, PE) - 0,66</t>
  </si>
  <si>
    <t>ВВГнг(A)-LS 5х70(N, PE) - 0,66</t>
  </si>
  <si>
    <t>ВБШв 3*10 -0,66</t>
  </si>
  <si>
    <t>ПБГВВ 2х1,5</t>
  </si>
  <si>
    <t>ПБГВВ 2х2,5</t>
  </si>
  <si>
    <t>ПБГВВ 3х1,5</t>
  </si>
  <si>
    <t>ПБГВВ 3х2,5</t>
  </si>
  <si>
    <t>Провод гибкий плоский</t>
  </si>
  <si>
    <t>ПуГВ 2,5</t>
  </si>
  <si>
    <t>ППГнг(А)-HF 3х1,5(N, PE) - 0,66</t>
  </si>
  <si>
    <t>ППГнг(А)-HF 3х2,5(N, PE) - 0,66</t>
  </si>
  <si>
    <t>ППГнг(А)-FRHF 2х1,5(N)</t>
  </si>
  <si>
    <t>ППГнг(А)-FRHF 2х2,5(N)</t>
  </si>
  <si>
    <t>ППГнг(А)-FRHF 3х1,5(N, PE)</t>
  </si>
  <si>
    <t>ППГнг(А)-FRHF 3х2,5(N, PE)</t>
  </si>
  <si>
    <t>ППГнг(А)-FRHF 3х4(N, PE)</t>
  </si>
  <si>
    <t>ППГнг(А)-FRHF 5х1,5(N, PE)</t>
  </si>
  <si>
    <t>ППГнг(А)-FRHF 5х2,5(N, PE)</t>
  </si>
  <si>
    <t>ППГнг(А)-FRHF 5х4(N, PE)</t>
  </si>
  <si>
    <t>ППГнг(А)-FRHF 5х6(N, PE)</t>
  </si>
  <si>
    <t>ППГнг(А)-FRHF 5х10(N, PE)</t>
  </si>
  <si>
    <t>ППГнг(А)-FRHF 5х16(N, PE)</t>
  </si>
  <si>
    <t>ППГнг(А)-HF 2х1,5(N)</t>
  </si>
  <si>
    <t>ППГнг(А)-HF 2х2,5(N)</t>
  </si>
  <si>
    <t>ППГнг(А)-HF 3х4(N, PE)</t>
  </si>
  <si>
    <t>ППГнг(А)-HF 3х6(N, PE)</t>
  </si>
  <si>
    <t>ППГнг(А)-HF 3х10(N, PE)</t>
  </si>
  <si>
    <t>ППГнг(А)-HF 4х1,5(N)</t>
  </si>
  <si>
    <t>ППГнг(А)-HF 4х2,5(N)</t>
  </si>
  <si>
    <t>ППГнг(А)-HF 4х4(N)</t>
  </si>
  <si>
    <t>ППГнг(А)-HF 4х6(N)</t>
  </si>
  <si>
    <t>ППГнг(А)-HF 4х10(N)</t>
  </si>
  <si>
    <t>ППГнг(А)-HF 5х1,5(N, PE)</t>
  </si>
  <si>
    <t>ППГнг(А)-HF 5х2,5(N, PE)</t>
  </si>
  <si>
    <t>ППГнг(А)-HF 5х4(N, PE)</t>
  </si>
  <si>
    <t>ППГнг(А)-HF 5х6(N, PE)</t>
  </si>
  <si>
    <t>ППГнг(А)-HF 5х10(N, PE)</t>
  </si>
  <si>
    <t>ППГнг(А)-HF 5х16(N, PE)</t>
  </si>
  <si>
    <t>ППГнг(А)-HF 5х25(N, PE)</t>
  </si>
  <si>
    <t>ППГнг(А)-HF 5х35(N, PE)</t>
  </si>
  <si>
    <t>ППГнг(А)-HF 5х50(N, PE)</t>
  </si>
  <si>
    <t>КГ тп 1х25- 0,66</t>
  </si>
  <si>
    <t>ППГнг(А)-HF 5х70(N, PE)</t>
  </si>
  <si>
    <t>ВВГнг(A)-LS 4х1,5</t>
  </si>
  <si>
    <t>ВВГнг(A)-LS 4х2,5</t>
  </si>
  <si>
    <t>ВВГнг(A)-LS 5х1,5</t>
  </si>
  <si>
    <t>ВВГнг(A)-LS 5х2,5</t>
  </si>
  <si>
    <t>ВВГ-Пнг(A)-LS 2х1,5</t>
  </si>
  <si>
    <t>ВВГ-Пнг(A)-LS 2х2,5</t>
  </si>
  <si>
    <t>ВВГ-Пнг(A)-LS 3х1,5</t>
  </si>
  <si>
    <t>ВВГ-Пнг(A)-LS 3х2,5</t>
  </si>
  <si>
    <t>ВВГ-Пнг(A)-LS 2х4</t>
  </si>
  <si>
    <t>ВВГ-Пнг(A)-LS 2х6</t>
  </si>
  <si>
    <t>ВВГ-Пнг(A)-LS 3х4</t>
  </si>
  <si>
    <t>ВВГ-Пнг(A)-LS 3х6</t>
  </si>
  <si>
    <t>ВВГнг(A)-LS 4х4</t>
  </si>
  <si>
    <t>ВВГнг(A)-LS 4х6</t>
  </si>
  <si>
    <t>ВВГнг(A)-LS 5х4</t>
  </si>
  <si>
    <t>ВВГнг(A)-LS 5х6</t>
  </si>
  <si>
    <t>13 июля 2023</t>
  </si>
  <si>
    <t>451320, 451325</t>
  </si>
  <si>
    <t>451190, 451200, 451210, 451220, 451230</t>
  </si>
  <si>
    <t>451240, 451250, 451260, 451270, 451280</t>
  </si>
  <si>
    <t>451290, 451292, 451294, 451296, 451298</t>
  </si>
  <si>
    <t>451300, 451304, 451306, 451307, 451308</t>
  </si>
  <si>
    <t>451310, 451312, 451314, 451316, 451318</t>
  </si>
  <si>
    <t>441910     </t>
  </si>
  <si>
    <t>441920     </t>
  </si>
  <si>
    <t>441930     </t>
  </si>
  <si>
    <t>441940     </t>
  </si>
  <si>
    <t>441945     </t>
  </si>
  <si>
    <t>441950     </t>
  </si>
  <si>
    <t>441960     </t>
  </si>
  <si>
    <t>441970     </t>
  </si>
  <si>
    <t>441980     </t>
  </si>
  <si>
    <t>441990     </t>
  </si>
  <si>
    <t>442000     </t>
  </si>
  <si>
    <t>442010     </t>
  </si>
  <si>
    <t>442020     </t>
  </si>
  <si>
    <t>442030     </t>
  </si>
  <si>
    <t>442040     </t>
  </si>
  <si>
    <t>НАЛИЧНЫЕ - СПЕЦИАЛЬНОЕ ПРЕДЛОЖЕНИЕ</t>
  </si>
  <si>
    <t>ПуГВ 4.ГОСТ</t>
  </si>
  <si>
    <t>ПуГВ 6.ГОСТ</t>
  </si>
  <si>
    <t>ПуГВ  10.ГОСТ</t>
  </si>
  <si>
    <t>ПуГВ  16.ГОСТ</t>
  </si>
  <si>
    <t>ПуГВ  25.ГОСТ</t>
  </si>
  <si>
    <t>ПуГВ  35.ГОСТ</t>
  </si>
  <si>
    <t>БЕЗНАЛ - КОММЕРЧЕСКОЕ ПРЕДЛОЖЕНИЕ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</si>
</sst>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_₽"/>
  </numFmts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u/>
      <sz val="28"/>
      <color theme="1"/>
      <name val="Cambria"/>
      <family val="1"/>
      <charset val="204"/>
    </font>
    <font>
      <b/>
      <sz val="9"/>
      <name val="Cambria"/>
      <family val="1"/>
      <charset val="204"/>
    </font>
    <font>
      <b/>
      <sz val="10"/>
      <name val="Cambria"/>
      <family val="1"/>
      <charset val="204"/>
    </font>
    <font>
      <b/>
      <sz val="11"/>
      <color theme="1"/>
      <name val="Cambria"/>
      <family val="1"/>
      <charset val="204"/>
    </font>
    <font>
      <sz val="11"/>
      <color theme="1"/>
      <name val="Cambria"/>
      <family val="1"/>
      <charset val="204"/>
    </font>
    <font>
      <b/>
      <sz val="10"/>
      <color theme="1"/>
      <name val="Cambria"/>
      <family val="1"/>
      <charset val="204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0"/>
      <name val="Cambria"/>
      <family val="1"/>
      <charset val="204"/>
    </font>
    <font>
      <b/>
      <sz val="11"/>
      <name val="Cambria"/>
      <family val="1"/>
      <charset val="204"/>
    </font>
    <font>
      <sz val="11"/>
      <name val="Cambria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0"/>
      <name val="Cambria"/>
      <family val="1"/>
      <charset val="204"/>
    </font>
    <font>
      <b/>
      <sz val="11"/>
      <color theme="0"/>
      <name val="Cambria"/>
      <family val="1"/>
      <charset val="204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29">
    <border>
      <left/>
      <right/>
      <top/>
      <bottom/>
      <diagonal/>
    </border>
    <border>
      <left style="double">
        <color auto="1"/>
      </left>
      <right style="hair">
        <color auto="1"/>
      </right>
      <top style="double">
        <color auto="1"/>
      </top>
      <bottom/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hair">
        <color auto="1"/>
      </right>
      <top/>
      <bottom style="double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/>
      <top/>
      <bottom/>
      <diagonal/>
    </border>
  </borders>
  <cellStyleXfs count="1">
    <xf numFmtId="0" fontId="0" fillId="0" borderId="0"/>
  </cellStyleXfs>
  <cellXfs count="164">
    <xf numFmtId="0" fontId="0" fillId="0" borderId="0" xfId="0"/>
    <xf numFmtId="0" fontId="6" fillId="0" borderId="0" xfId="0" applyFont="1"/>
    <xf numFmtId="0" fontId="0" fillId="2" borderId="0" xfId="0" applyFill="1"/>
    <xf numFmtId="0" fontId="10" fillId="0" borderId="11" xfId="0" applyFont="1" applyBorder="1"/>
    <xf numFmtId="4" fontId="0" fillId="0" borderId="3" xfId="0" applyNumberFormat="1" applyBorder="1" applyAlignment="1">
      <alignment horizontal="center"/>
    </xf>
    <xf numFmtId="0" fontId="10" fillId="0" borderId="12" xfId="0" applyFont="1" applyBorder="1"/>
    <xf numFmtId="4" fontId="0" fillId="0" borderId="14" xfId="0" applyNumberFormat="1" applyBorder="1" applyAlignment="1">
      <alignment horizontal="center"/>
    </xf>
    <xf numFmtId="0" fontId="10" fillId="0" borderId="15" xfId="0" applyFont="1" applyBorder="1"/>
    <xf numFmtId="4" fontId="0" fillId="0" borderId="8" xfId="0" applyNumberFormat="1" applyBorder="1" applyAlignment="1">
      <alignment horizontal="center"/>
    </xf>
    <xf numFmtId="4" fontId="8" fillId="0" borderId="2" xfId="0" applyNumberFormat="1" applyFont="1" applyBorder="1" applyAlignment="1">
      <alignment horizontal="left"/>
    </xf>
    <xf numFmtId="4" fontId="8" fillId="0" borderId="3" xfId="0" applyNumberFormat="1" applyFont="1" applyBorder="1" applyAlignment="1">
      <alignment horizontal="center"/>
    </xf>
    <xf numFmtId="4" fontId="8" fillId="0" borderId="16" xfId="0" applyNumberFormat="1" applyFont="1" applyBorder="1" applyAlignment="1">
      <alignment horizontal="left"/>
    </xf>
    <xf numFmtId="4" fontId="8" fillId="0" borderId="14" xfId="0" applyNumberFormat="1" applyFont="1" applyBorder="1" applyAlignment="1">
      <alignment horizontal="center"/>
    </xf>
    <xf numFmtId="4" fontId="8" fillId="0" borderId="17" xfId="0" applyNumberFormat="1" applyFont="1" applyBorder="1" applyAlignment="1">
      <alignment horizontal="left"/>
    </xf>
    <xf numFmtId="4" fontId="8" fillId="0" borderId="8" xfId="0" applyNumberFormat="1" applyFont="1" applyBorder="1" applyAlignment="1">
      <alignment horizontal="center"/>
    </xf>
    <xf numFmtId="0" fontId="11" fillId="0" borderId="12" xfId="0" applyFont="1" applyBorder="1"/>
    <xf numFmtId="4" fontId="11" fillId="0" borderId="16" xfId="0" applyNumberFormat="1" applyFont="1" applyBorder="1" applyAlignment="1">
      <alignment horizontal="left"/>
    </xf>
    <xf numFmtId="4" fontId="13" fillId="0" borderId="14" xfId="0" applyNumberFormat="1" applyFont="1" applyBorder="1" applyAlignment="1">
      <alignment horizontal="center"/>
    </xf>
    <xf numFmtId="0" fontId="0" fillId="2" borderId="28" xfId="0" applyFill="1" applyBorder="1"/>
    <xf numFmtId="0" fontId="0" fillId="0" borderId="0" xfId="0" applyAlignment="1">
      <alignment horizontal="left"/>
    </xf>
    <xf numFmtId="0" fontId="8" fillId="0" borderId="11" xfId="0" applyFont="1" applyBorder="1"/>
    <xf numFmtId="0" fontId="10" fillId="0" borderId="2" xfId="0" applyFont="1" applyBorder="1"/>
    <xf numFmtId="2" fontId="8" fillId="0" borderId="3" xfId="0" applyNumberFormat="1" applyFont="1" applyBorder="1" applyAlignment="1">
      <alignment horizontal="center"/>
    </xf>
    <xf numFmtId="0" fontId="8" fillId="0" borderId="12" xfId="0" applyFont="1" applyBorder="1"/>
    <xf numFmtId="0" fontId="10" fillId="0" borderId="13" xfId="0" applyFont="1" applyBorder="1"/>
    <xf numFmtId="2" fontId="8" fillId="0" borderId="14" xfId="0" applyNumberFormat="1" applyFont="1" applyBorder="1" applyAlignment="1">
      <alignment horizontal="center"/>
    </xf>
    <xf numFmtId="0" fontId="8" fillId="0" borderId="15" xfId="0" applyFont="1" applyBorder="1"/>
    <xf numFmtId="0" fontId="10" fillId="0" borderId="7" xfId="0" applyFont="1" applyBorder="1"/>
    <xf numFmtId="2" fontId="8" fillId="0" borderId="8" xfId="0" applyNumberFormat="1" applyFont="1" applyBorder="1" applyAlignment="1">
      <alignment horizontal="center"/>
    </xf>
    <xf numFmtId="4" fontId="0" fillId="0" borderId="0" xfId="0" applyNumberFormat="1" applyAlignment="1">
      <alignment horizontal="center"/>
    </xf>
    <xf numFmtId="0" fontId="11" fillId="0" borderId="0" xfId="0" applyFont="1"/>
    <xf numFmtId="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11" xfId="0" applyBorder="1"/>
    <xf numFmtId="0" fontId="11" fillId="0" borderId="2" xfId="0" applyFont="1" applyBorder="1" applyAlignment="1">
      <alignment horizontal="left"/>
    </xf>
    <xf numFmtId="2" fontId="0" fillId="0" borderId="3" xfId="0" applyNumberFormat="1" applyBorder="1" applyAlignment="1">
      <alignment horizontal="center"/>
    </xf>
    <xf numFmtId="0" fontId="0" fillId="0" borderId="12" xfId="0" applyBorder="1"/>
    <xf numFmtId="0" fontId="11" fillId="0" borderId="13" xfId="0" applyFont="1" applyBorder="1" applyAlignment="1">
      <alignment horizontal="left"/>
    </xf>
    <xf numFmtId="2" fontId="0" fillId="0" borderId="14" xfId="0" applyNumberFormat="1" applyBorder="1" applyAlignment="1">
      <alignment horizontal="center"/>
    </xf>
    <xf numFmtId="0" fontId="0" fillId="0" borderId="15" xfId="0" applyBorder="1"/>
    <xf numFmtId="0" fontId="11" fillId="0" borderId="7" xfId="0" applyFont="1" applyBorder="1" applyAlignment="1">
      <alignment horizontal="left"/>
    </xf>
    <xf numFmtId="2" fontId="0" fillId="0" borderId="8" xfId="0" applyNumberFormat="1" applyBorder="1" applyAlignment="1">
      <alignment horizontal="center"/>
    </xf>
    <xf numFmtId="0" fontId="11" fillId="0" borderId="0" xfId="0" applyFont="1" applyAlignment="1">
      <alignment horizontal="left"/>
    </xf>
    <xf numFmtId="0" fontId="0" fillId="0" borderId="18" xfId="0" applyBorder="1"/>
    <xf numFmtId="0" fontId="11" fillId="0" borderId="19" xfId="0" applyFont="1" applyBorder="1" applyAlignment="1">
      <alignment horizontal="left"/>
    </xf>
    <xf numFmtId="4" fontId="0" fillId="0" borderId="20" xfId="0" applyNumberFormat="1" applyBorder="1" applyAlignment="1">
      <alignment horizontal="center"/>
    </xf>
    <xf numFmtId="2" fontId="0" fillId="0" borderId="0" xfId="0" applyNumberFormat="1"/>
    <xf numFmtId="0" fontId="8" fillId="0" borderId="2" xfId="0" applyFont="1" applyBorder="1" applyAlignment="1">
      <alignment horizontal="left"/>
    </xf>
    <xf numFmtId="0" fontId="8" fillId="0" borderId="13" xfId="0" applyFont="1" applyBorder="1" applyAlignment="1">
      <alignment horizontal="left"/>
    </xf>
    <xf numFmtId="0" fontId="8" fillId="0" borderId="7" xfId="0" applyFont="1" applyBorder="1" applyAlignment="1">
      <alignment horizontal="left"/>
    </xf>
    <xf numFmtId="2" fontId="1" fillId="0" borderId="3" xfId="0" applyNumberFormat="1" applyFont="1" applyBorder="1" applyAlignment="1">
      <alignment horizontal="center"/>
    </xf>
    <xf numFmtId="2" fontId="1" fillId="0" borderId="14" xfId="0" applyNumberFormat="1" applyFont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0" fontId="8" fillId="0" borderId="2" xfId="0" applyFont="1" applyBorder="1"/>
    <xf numFmtId="0" fontId="8" fillId="0" borderId="22" xfId="0" applyFont="1" applyBorder="1"/>
    <xf numFmtId="0" fontId="8" fillId="0" borderId="23" xfId="0" applyFont="1" applyBorder="1"/>
    <xf numFmtId="2" fontId="8" fillId="0" borderId="24" xfId="0" applyNumberFormat="1" applyFont="1" applyBorder="1" applyAlignment="1">
      <alignment horizontal="center"/>
    </xf>
    <xf numFmtId="0" fontId="8" fillId="0" borderId="7" xfId="0" applyFont="1" applyBorder="1"/>
    <xf numFmtId="0" fontId="8" fillId="0" borderId="0" xfId="0" applyFont="1"/>
    <xf numFmtId="2" fontId="8" fillId="0" borderId="0" xfId="0" applyNumberFormat="1" applyFont="1" applyAlignment="1">
      <alignment horizontal="center"/>
    </xf>
    <xf numFmtId="164" fontId="8" fillId="0" borderId="3" xfId="0" applyNumberFormat="1" applyFont="1" applyBorder="1" applyAlignment="1">
      <alignment horizontal="right"/>
    </xf>
    <xf numFmtId="0" fontId="8" fillId="0" borderId="13" xfId="0" applyFont="1" applyBorder="1"/>
    <xf numFmtId="164" fontId="8" fillId="0" borderId="14" xfId="0" applyNumberFormat="1" applyFont="1" applyBorder="1" applyAlignment="1">
      <alignment horizontal="right"/>
    </xf>
    <xf numFmtId="164" fontId="8" fillId="0" borderId="8" xfId="0" applyNumberFormat="1" applyFont="1" applyBorder="1" applyAlignment="1">
      <alignment horizontal="right"/>
    </xf>
    <xf numFmtId="0" fontId="1" fillId="0" borderId="0" xfId="0" applyFont="1"/>
    <xf numFmtId="4" fontId="1" fillId="0" borderId="0" xfId="0" applyNumberFormat="1" applyFont="1" applyAlignment="1">
      <alignment horizontal="center"/>
    </xf>
    <xf numFmtId="4" fontId="8" fillId="0" borderId="0" xfId="0" applyNumberFormat="1" applyFont="1" applyAlignment="1">
      <alignment horizontal="center"/>
    </xf>
    <xf numFmtId="0" fontId="4" fillId="0" borderId="21" xfId="0" applyFont="1" applyBorder="1" applyAlignment="1">
      <alignment horizontal="left"/>
    </xf>
    <xf numFmtId="0" fontId="0" fillId="0" borderId="21" xfId="0" applyBorder="1" applyAlignment="1">
      <alignment horizontal="center"/>
    </xf>
    <xf numFmtId="0" fontId="4" fillId="0" borderId="0" xfId="0" applyFont="1" applyAlignment="1">
      <alignment horizontal="center"/>
    </xf>
    <xf numFmtId="0" fontId="8" fillId="0" borderId="18" xfId="0" applyFont="1" applyBorder="1"/>
    <xf numFmtId="0" fontId="8" fillId="0" borderId="19" xfId="0" applyFont="1" applyBorder="1" applyAlignment="1">
      <alignment horizontal="left"/>
    </xf>
    <xf numFmtId="164" fontId="8" fillId="0" borderId="20" xfId="0" applyNumberFormat="1" applyFont="1" applyBorder="1" applyAlignment="1">
      <alignment horizontal="right"/>
    </xf>
    <xf numFmtId="0" fontId="9" fillId="0" borderId="0" xfId="0" applyFont="1"/>
    <xf numFmtId="0" fontId="9" fillId="0" borderId="0" xfId="0" applyFont="1" applyAlignment="1">
      <alignment horizontal="left"/>
    </xf>
    <xf numFmtId="164" fontId="9" fillId="0" borderId="0" xfId="0" applyNumberFormat="1" applyFont="1" applyAlignment="1">
      <alignment horizontal="right"/>
    </xf>
    <xf numFmtId="0" fontId="12" fillId="0" borderId="21" xfId="0" applyFont="1" applyBorder="1" applyAlignment="1">
      <alignment horizontal="right"/>
    </xf>
    <xf numFmtId="0" fontId="0" fillId="0" borderId="2" xfId="0" applyBorder="1"/>
    <xf numFmtId="0" fontId="0" fillId="0" borderId="13" xfId="0" applyBorder="1"/>
    <xf numFmtId="0" fontId="0" fillId="0" borderId="7" xfId="0" applyBorder="1"/>
    <xf numFmtId="0" fontId="5" fillId="0" borderId="7" xfId="0" applyFont="1" applyBorder="1" applyAlignment="1">
      <alignment vertical="center"/>
    </xf>
    <xf numFmtId="0" fontId="5" fillId="0" borderId="8" xfId="0" applyFont="1" applyBorder="1" applyAlignment="1">
      <alignment horizontal="center" vertical="center"/>
    </xf>
    <xf numFmtId="4" fontId="8" fillId="0" borderId="2" xfId="0" applyNumberFormat="1" applyFont="1" applyBorder="1" applyAlignment="1">
      <alignment horizontal="center"/>
    </xf>
    <xf numFmtId="4" fontId="8" fillId="0" borderId="23" xfId="0" applyNumberFormat="1" applyFont="1" applyBorder="1" applyAlignment="1">
      <alignment horizontal="center"/>
    </xf>
    <xf numFmtId="4" fontId="8" fillId="0" borderId="24" xfId="0" applyNumberFormat="1" applyFont="1" applyBorder="1" applyAlignment="1">
      <alignment horizontal="center"/>
    </xf>
    <xf numFmtId="4" fontId="8" fillId="0" borderId="13" xfId="0" applyNumberFormat="1" applyFont="1" applyBorder="1" applyAlignment="1">
      <alignment horizontal="center"/>
    </xf>
    <xf numFmtId="4" fontId="8" fillId="0" borderId="7" xfId="0" applyNumberFormat="1" applyFont="1" applyBorder="1" applyAlignment="1">
      <alignment horizontal="center"/>
    </xf>
    <xf numFmtId="4" fontId="13" fillId="0" borderId="13" xfId="0" applyNumberFormat="1" applyFont="1" applyBorder="1" applyAlignment="1">
      <alignment horizontal="center"/>
    </xf>
    <xf numFmtId="4" fontId="11" fillId="0" borderId="14" xfId="0" applyNumberFormat="1" applyFont="1" applyBorder="1" applyAlignment="1">
      <alignment horizontal="center"/>
    </xf>
    <xf numFmtId="0" fontId="8" fillId="0" borderId="25" xfId="0" applyFont="1" applyBorder="1"/>
    <xf numFmtId="4" fontId="8" fillId="0" borderId="26" xfId="0" applyNumberFormat="1" applyFont="1" applyBorder="1" applyAlignment="1">
      <alignment horizontal="center"/>
    </xf>
    <xf numFmtId="4" fontId="8" fillId="0" borderId="27" xfId="0" applyNumberFormat="1" applyFont="1" applyBorder="1" applyAlignment="1">
      <alignment horizontal="center"/>
    </xf>
    <xf numFmtId="0" fontId="0" fillId="2" borderId="0" xfId="0" applyFill="1" applyAlignment="1">
      <alignment horizontal="left"/>
    </xf>
    <xf numFmtId="0" fontId="11" fillId="0" borderId="12" xfId="0" applyFont="1" applyBorder="1" applyAlignment="1">
      <alignment horizontal="left"/>
    </xf>
    <xf numFmtId="0" fontId="8" fillId="0" borderId="13" xfId="0" applyFont="1" applyBorder="1" applyAlignment="1">
      <alignment horizontal="left"/>
    </xf>
    <xf numFmtId="0" fontId="11" fillId="0" borderId="15" xfId="0" applyFont="1" applyBorder="1" applyAlignment="1">
      <alignment horizontal="left"/>
    </xf>
    <xf numFmtId="0" fontId="8" fillId="0" borderId="7" xfId="0" applyFont="1" applyBorder="1" applyAlignment="1">
      <alignment horizontal="left"/>
    </xf>
    <xf numFmtId="0" fontId="5" fillId="0" borderId="5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left"/>
    </xf>
    <xf numFmtId="0" fontId="8" fillId="0" borderId="2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vertical="center"/>
    </xf>
    <xf numFmtId="0" fontId="7" fillId="0" borderId="9" xfId="0" applyFont="1" applyBorder="1" applyAlignment="1">
      <alignment vertical="center"/>
    </xf>
    <xf numFmtId="4" fontId="0" fillId="0" borderId="2" xfId="0" applyNumberFormat="1" applyBorder="1" applyAlignment="1">
      <alignment horizontal="center"/>
    </xf>
    <xf numFmtId="0" fontId="15" fillId="3" borderId="11" xfId="0" applyFont="1" applyFill="1" applyBorder="1"/>
    <xf numFmtId="0" fontId="15" fillId="3" borderId="2" xfId="0" applyFont="1" applyFill="1" applyBorder="1"/>
    <xf numFmtId="4" fontId="16" fillId="3" borderId="3" xfId="0" applyNumberFormat="1" applyFont="1" applyFill="1" applyBorder="1" applyAlignment="1">
      <alignment horizontal="center"/>
    </xf>
    <xf numFmtId="0" fontId="0" fillId="0" borderId="22" xfId="0" applyBorder="1"/>
    <xf numFmtId="4" fontId="0" fillId="0" borderId="23" xfId="0" applyNumberFormat="1" applyBorder="1" applyAlignment="1">
      <alignment horizontal="center"/>
    </xf>
    <xf numFmtId="4" fontId="0" fillId="0" borderId="24" xfId="0" applyNumberFormat="1" applyBorder="1" applyAlignment="1">
      <alignment horizontal="center"/>
    </xf>
    <xf numFmtId="0" fontId="9" fillId="4" borderId="12" xfId="0" applyFont="1" applyFill="1" applyBorder="1"/>
    <xf numFmtId="0" fontId="9" fillId="4" borderId="13" xfId="0" applyFont="1" applyFill="1" applyBorder="1"/>
    <xf numFmtId="164" fontId="9" fillId="4" borderId="14" xfId="0" applyNumberFormat="1" applyFont="1" applyFill="1" applyBorder="1" applyAlignment="1">
      <alignment horizontal="right"/>
    </xf>
    <xf numFmtId="0" fontId="15" fillId="3" borderId="15" xfId="0" applyFont="1" applyFill="1" applyBorder="1"/>
    <xf numFmtId="0" fontId="15" fillId="3" borderId="7" xfId="0" applyFont="1" applyFill="1" applyBorder="1"/>
    <xf numFmtId="4" fontId="16" fillId="3" borderId="8" xfId="0" applyNumberFormat="1" applyFont="1" applyFill="1" applyBorder="1" applyAlignment="1">
      <alignment horizontal="center"/>
    </xf>
    <xf numFmtId="4" fontId="9" fillId="4" borderId="13" xfId="0" applyNumberFormat="1" applyFont="1" applyFill="1" applyBorder="1" applyAlignment="1">
      <alignment horizontal="center"/>
    </xf>
    <xf numFmtId="4" fontId="14" fillId="0" borderId="14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left"/>
    </xf>
    <xf numFmtId="4" fontId="0" fillId="0" borderId="7" xfId="0" applyNumberFormat="1" applyBorder="1" applyAlignment="1">
      <alignment horizontal="center"/>
    </xf>
    <xf numFmtId="4" fontId="1" fillId="0" borderId="16" xfId="0" applyNumberFormat="1" applyFont="1" applyBorder="1" applyAlignment="1">
      <alignment horizontal="left"/>
    </xf>
    <xf numFmtId="0" fontId="15" fillId="3" borderId="12" xfId="0" applyFont="1" applyFill="1" applyBorder="1"/>
    <xf numFmtId="4" fontId="15" fillId="3" borderId="16" xfId="0" applyNumberFormat="1" applyFont="1" applyFill="1" applyBorder="1" applyAlignment="1">
      <alignment horizontal="left"/>
    </xf>
    <xf numFmtId="4" fontId="16" fillId="3" borderId="14" xfId="0" applyNumberFormat="1" applyFont="1" applyFill="1" applyBorder="1" applyAlignment="1">
      <alignment horizontal="center"/>
    </xf>
    <xf numFmtId="4" fontId="0" fillId="0" borderId="13" xfId="0" applyNumberFormat="1" applyBorder="1" applyAlignment="1">
      <alignment horizontal="center"/>
    </xf>
    <xf numFmtId="4" fontId="16" fillId="3" borderId="13" xfId="0" applyNumberFormat="1" applyFont="1" applyFill="1" applyBorder="1" applyAlignment="1">
      <alignment horizontal="center"/>
    </xf>
    <xf numFmtId="4" fontId="7" fillId="0" borderId="14" xfId="0" applyNumberFormat="1" applyFont="1" applyBorder="1" applyAlignment="1">
      <alignment horizontal="center"/>
    </xf>
    <xf numFmtId="4" fontId="1" fillId="0" borderId="17" xfId="0" applyNumberFormat="1" applyFont="1" applyBorder="1" applyAlignment="1">
      <alignment horizontal="left"/>
    </xf>
    <xf numFmtId="0" fontId="17" fillId="0" borderId="2" xfId="0" applyFont="1" applyBorder="1"/>
    <xf numFmtId="0" fontId="17" fillId="0" borderId="13" xfId="0" applyFont="1" applyBorder="1"/>
    <xf numFmtId="0" fontId="14" fillId="4" borderId="12" xfId="0" applyFont="1" applyFill="1" applyBorder="1"/>
    <xf numFmtId="0" fontId="18" fillId="4" borderId="13" xfId="0" applyFont="1" applyFill="1" applyBorder="1"/>
    <xf numFmtId="2" fontId="14" fillId="4" borderId="14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7" fillId="0" borderId="7" xfId="0" applyFont="1" applyBorder="1"/>
    <xf numFmtId="0" fontId="9" fillId="0" borderId="12" xfId="0" applyFont="1" applyBorder="1"/>
    <xf numFmtId="4" fontId="9" fillId="0" borderId="13" xfId="0" applyNumberFormat="1" applyFont="1" applyBorder="1" applyAlignment="1">
      <alignment horizontal="center"/>
    </xf>
    <xf numFmtId="4" fontId="9" fillId="4" borderId="14" xfId="0" applyNumberFormat="1" applyFont="1" applyFill="1" applyBorder="1" applyAlignment="1">
      <alignment horizontal="center"/>
    </xf>
    <xf numFmtId="4" fontId="14" fillId="4" borderId="13" xfId="0" applyNumberFormat="1" applyFont="1" applyFill="1" applyBorder="1" applyAlignment="1">
      <alignment horizontal="center"/>
    </xf>
    <xf numFmtId="4" fontId="9" fillId="0" borderId="14" xfId="0" applyNumberFormat="1" applyFon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4" borderId="18" xfId="0" applyFill="1" applyBorder="1"/>
    <xf numFmtId="0" fontId="11" fillId="4" borderId="19" xfId="0" applyFont="1" applyFill="1" applyBorder="1" applyAlignment="1">
      <alignment horizontal="left"/>
    </xf>
    <xf numFmtId="4" fontId="0" fillId="4" borderId="20" xfId="0" applyNumberFormat="1" applyFill="1" applyBorder="1" applyAlignment="1">
      <alignment horizontal="center"/>
    </xf>
    <xf numFmtId="0" fontId="8" fillId="4" borderId="13" xfId="0" applyFont="1" applyFill="1" applyBorder="1"/>
    <xf numFmtId="0" fontId="0" fillId="0" borderId="25" xfId="0" applyBorder="1"/>
    <xf numFmtId="4" fontId="0" fillId="0" borderId="26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0" fontId="0" fillId="0" borderId="7" xfId="0" applyBorder="1" applyAlignment="1">
      <alignment horizontal="left"/>
    </xf>
    <xf numFmtId="0" fontId="9" fillId="4" borderId="18" xfId="0" applyFont="1" applyFill="1" applyBorder="1"/>
    <xf numFmtId="0" fontId="9" fillId="4" borderId="19" xfId="0" applyFont="1" applyFill="1" applyBorder="1" applyAlignment="1">
      <alignment horizontal="left"/>
    </xf>
    <xf numFmtId="164" fontId="9" fillId="4" borderId="20" xfId="0" applyNumberFormat="1" applyFont="1" applyFill="1" applyBorder="1" applyAlignment="1">
      <alignment horizontal="right"/>
    </xf>
    <xf numFmtId="164" fontId="9" fillId="0" borderId="0" xfId="0" applyNumberFormat="1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68441-28BE-4EDC-A66B-90D9A9033B15}">
  <sheetPr codeName="Лист3">
    <pageSetUpPr fitToPage="1"/>
  </sheetPr>
  <dimension ref="A1:L78"/>
  <sheetViews>
    <sheetView tabSelected="1" zoomScale="115" zoomScaleNormal="115" workbookViewId="0">
      <selection activeCell="E13" sqref="E13"/>
    </sheetView>
  </sheetViews>
  <sheetFormatPr defaultRowHeight="15" x14ac:dyDescent="0.25"/>
  <cols>
    <col min="1" max="1" width="30.140625" bestFit="1" customWidth="1"/>
    <col min="2" max="2" width="10.42578125" bestFit="1" customWidth="1"/>
    <col min="4" max="4" width="7.85546875" bestFit="1" customWidth="1"/>
    <col min="5" max="5" width="18.5703125" bestFit="1" customWidth="1"/>
    <col min="6" max="6" width="15" bestFit="1" customWidth="1"/>
    <col min="7" max="7" width="9.5703125" bestFit="1" customWidth="1"/>
    <col min="8" max="8" width="7.85546875" bestFit="1" customWidth="1"/>
    <col min="9" max="9" width="18.5703125" bestFit="1" customWidth="1"/>
    <col min="10" max="10" width="15" bestFit="1" customWidth="1"/>
    <col min="12" max="12" width="7.85546875" customWidth="1"/>
  </cols>
  <sheetData>
    <row r="1" spans="1:12" x14ac:dyDescent="0.25">
      <c r="A1" s="102" t="s">
        <v>230</v>
      </c>
      <c r="B1" s="102"/>
      <c r="C1" s="102"/>
      <c r="D1" s="102"/>
      <c r="E1" s="102"/>
      <c r="F1" s="102"/>
      <c r="G1" s="102"/>
      <c r="H1" s="102"/>
      <c r="I1" s="102"/>
      <c r="J1" s="103" t="s">
        <v>0</v>
      </c>
      <c r="K1" s="104"/>
    </row>
    <row r="2" spans="1:12" x14ac:dyDescent="0.25">
      <c r="A2" s="102"/>
      <c r="B2" s="102"/>
      <c r="C2" s="102"/>
      <c r="D2" s="102"/>
      <c r="E2" s="102"/>
      <c r="F2" s="102"/>
      <c r="G2" s="102"/>
      <c r="H2" s="102"/>
      <c r="I2" s="102"/>
      <c r="J2" s="105" t="s">
        <v>201</v>
      </c>
      <c r="K2" s="106"/>
    </row>
    <row r="3" spans="1:12" ht="15.75" thickBot="1" x14ac:dyDescent="0.3"/>
    <row r="4" spans="1:12" ht="15.75" thickTop="1" x14ac:dyDescent="0.25">
      <c r="A4" s="107" t="s">
        <v>1</v>
      </c>
      <c r="B4" s="109" t="s">
        <v>2</v>
      </c>
      <c r="C4" s="110"/>
      <c r="D4" s="1"/>
      <c r="E4" s="107" t="s">
        <v>1</v>
      </c>
      <c r="F4" s="111" t="s">
        <v>2</v>
      </c>
      <c r="G4" s="98" t="s">
        <v>3</v>
      </c>
      <c r="H4" s="1"/>
      <c r="I4" s="107" t="s">
        <v>1</v>
      </c>
      <c r="J4" s="111" t="s">
        <v>2</v>
      </c>
      <c r="K4" s="98" t="s">
        <v>3</v>
      </c>
    </row>
    <row r="5" spans="1:12" ht="15.75" thickBot="1" x14ac:dyDescent="0.3">
      <c r="A5" s="108"/>
      <c r="B5" s="81" t="s">
        <v>4</v>
      </c>
      <c r="C5" s="82" t="s">
        <v>5</v>
      </c>
      <c r="D5" s="1"/>
      <c r="E5" s="108"/>
      <c r="F5" s="112"/>
      <c r="G5" s="99"/>
      <c r="H5" s="1"/>
      <c r="I5" s="108"/>
      <c r="J5" s="112"/>
      <c r="K5" s="99"/>
    </row>
    <row r="6" spans="1:12" ht="16.5" thickTop="1" thickBot="1" x14ac:dyDescent="0.3">
      <c r="C6" s="32"/>
    </row>
    <row r="7" spans="1:12" ht="15.75" thickTop="1" x14ac:dyDescent="0.25">
      <c r="A7" s="34" t="s">
        <v>6</v>
      </c>
      <c r="B7" s="113">
        <v>37.899049999999995</v>
      </c>
      <c r="C7" s="4"/>
      <c r="D7" s="2">
        <v>132005</v>
      </c>
      <c r="E7" s="20" t="s">
        <v>7</v>
      </c>
      <c r="F7" s="54" t="s">
        <v>5</v>
      </c>
      <c r="G7" s="61">
        <v>22.6584</v>
      </c>
      <c r="I7" s="114" t="s">
        <v>8</v>
      </c>
      <c r="J7" s="115" t="s">
        <v>9</v>
      </c>
      <c r="K7" s="116"/>
    </row>
    <row r="8" spans="1:12" ht="15.75" thickBot="1" x14ac:dyDescent="0.3">
      <c r="A8" s="117" t="s">
        <v>140</v>
      </c>
      <c r="B8" s="118"/>
      <c r="C8" s="119"/>
      <c r="E8" s="120" t="s">
        <v>11</v>
      </c>
      <c r="F8" s="121" t="s">
        <v>4</v>
      </c>
      <c r="G8" s="122">
        <v>38.448000000000008</v>
      </c>
      <c r="H8" s="2">
        <v>419090</v>
      </c>
      <c r="I8" s="123" t="s">
        <v>139</v>
      </c>
      <c r="J8" s="124" t="s">
        <v>9</v>
      </c>
      <c r="K8" s="125"/>
    </row>
    <row r="9" spans="1:12" ht="16.5" thickTop="1" thickBot="1" x14ac:dyDescent="0.3">
      <c r="A9" s="120" t="s">
        <v>10</v>
      </c>
      <c r="B9" s="126">
        <v>55.072249999999997</v>
      </c>
      <c r="C9" s="127">
        <v>47.643999999999998</v>
      </c>
      <c r="D9" s="2">
        <v>132015</v>
      </c>
      <c r="E9" s="120" t="s">
        <v>13</v>
      </c>
      <c r="F9" s="121" t="s">
        <v>4</v>
      </c>
      <c r="G9" s="122">
        <v>59.745600000000003</v>
      </c>
      <c r="H9" s="2">
        <v>419100</v>
      </c>
      <c r="K9" s="29"/>
    </row>
    <row r="10" spans="1:12" ht="15.75" thickTop="1" x14ac:dyDescent="0.25">
      <c r="A10" s="120" t="s">
        <v>12</v>
      </c>
      <c r="B10" s="126">
        <v>85.054000000000002</v>
      </c>
      <c r="C10" s="127">
        <v>73.056999999999988</v>
      </c>
      <c r="D10" s="2">
        <v>132025</v>
      </c>
      <c r="E10" s="23" t="s">
        <v>15</v>
      </c>
      <c r="F10" s="62" t="s">
        <v>5</v>
      </c>
      <c r="G10" s="63">
        <v>92.696400000000011</v>
      </c>
      <c r="I10" s="3" t="s">
        <v>16</v>
      </c>
      <c r="J10" s="128" t="s">
        <v>4</v>
      </c>
      <c r="K10" s="4">
        <v>43.675200000000004</v>
      </c>
      <c r="L10" s="2">
        <v>129650</v>
      </c>
    </row>
    <row r="11" spans="1:12" ht="15.75" thickBot="1" x14ac:dyDescent="0.3">
      <c r="A11" s="40" t="s">
        <v>14</v>
      </c>
      <c r="B11" s="129">
        <v>133.06440000000001</v>
      </c>
      <c r="C11" s="8"/>
      <c r="D11" s="2">
        <v>132035</v>
      </c>
      <c r="E11" s="23" t="s">
        <v>17</v>
      </c>
      <c r="F11" s="62" t="s">
        <v>5</v>
      </c>
      <c r="G11" s="63">
        <v>135.12960000000001</v>
      </c>
      <c r="I11" s="5" t="s">
        <v>18</v>
      </c>
      <c r="J11" s="130" t="s">
        <v>4</v>
      </c>
      <c r="K11" s="6">
        <v>64.08720000000001</v>
      </c>
      <c r="L11" s="2">
        <v>129660</v>
      </c>
    </row>
    <row r="12" spans="1:12" ht="16.5" thickTop="1" thickBot="1" x14ac:dyDescent="0.3">
      <c r="B12" s="29"/>
      <c r="C12" s="29"/>
      <c r="E12" s="23" t="s">
        <v>20</v>
      </c>
      <c r="F12" s="62" t="s">
        <v>5</v>
      </c>
      <c r="G12" s="63">
        <v>30.542400000000004</v>
      </c>
      <c r="I12" s="131" t="s">
        <v>21</v>
      </c>
      <c r="J12" s="132" t="s">
        <v>4</v>
      </c>
      <c r="K12" s="133">
        <v>57.726000000000006</v>
      </c>
      <c r="L12" s="2">
        <v>129670</v>
      </c>
    </row>
    <row r="13" spans="1:12" ht="15.75" thickTop="1" x14ac:dyDescent="0.25">
      <c r="A13" s="34" t="s">
        <v>19</v>
      </c>
      <c r="B13" s="113">
        <v>50.897349999999996</v>
      </c>
      <c r="C13" s="4"/>
      <c r="E13" s="120" t="s">
        <v>23</v>
      </c>
      <c r="F13" s="121" t="s">
        <v>4</v>
      </c>
      <c r="G13" s="122">
        <v>53.827200000000005</v>
      </c>
      <c r="H13" s="2">
        <v>419130</v>
      </c>
      <c r="I13" s="131" t="s">
        <v>24</v>
      </c>
      <c r="J13" s="132" t="s">
        <v>4</v>
      </c>
      <c r="K13" s="133">
        <v>90.126000000000005</v>
      </c>
      <c r="L13" s="2">
        <v>129680</v>
      </c>
    </row>
    <row r="14" spans="1:12" x14ac:dyDescent="0.25">
      <c r="A14" s="37" t="s">
        <v>22</v>
      </c>
      <c r="B14" s="134">
        <v>73.942750000000004</v>
      </c>
      <c r="C14" s="6"/>
      <c r="E14" s="120" t="s">
        <v>26</v>
      </c>
      <c r="F14" s="121" t="s">
        <v>4</v>
      </c>
      <c r="G14" s="122">
        <v>86.454000000000008</v>
      </c>
      <c r="H14" s="2">
        <v>419140</v>
      </c>
      <c r="I14" s="5" t="s">
        <v>27</v>
      </c>
      <c r="J14" s="130" t="s">
        <v>4</v>
      </c>
      <c r="K14" s="6">
        <v>144.3312</v>
      </c>
    </row>
    <row r="15" spans="1:12" x14ac:dyDescent="0.25">
      <c r="A15" s="37" t="s">
        <v>25</v>
      </c>
      <c r="B15" s="134">
        <v>0</v>
      </c>
      <c r="C15" s="6"/>
      <c r="E15" s="23" t="s">
        <v>29</v>
      </c>
      <c r="F15" s="62" t="s">
        <v>4</v>
      </c>
      <c r="G15" s="63">
        <v>133.49880000000002</v>
      </c>
      <c r="H15" s="2">
        <v>419150</v>
      </c>
      <c r="I15" s="5" t="s">
        <v>30</v>
      </c>
      <c r="J15" s="130" t="s">
        <v>4</v>
      </c>
      <c r="K15" s="6">
        <v>210.49200000000002</v>
      </c>
    </row>
    <row r="16" spans="1:12" x14ac:dyDescent="0.25">
      <c r="A16" s="37" t="s">
        <v>28</v>
      </c>
      <c r="B16" s="134">
        <v>0</v>
      </c>
      <c r="C16" s="6"/>
      <c r="E16" s="23" t="s">
        <v>32</v>
      </c>
      <c r="F16" s="62" t="s">
        <v>4</v>
      </c>
      <c r="G16" s="63">
        <v>196.67880000000002</v>
      </c>
      <c r="H16" s="2">
        <v>419160</v>
      </c>
      <c r="I16" s="5" t="s">
        <v>33</v>
      </c>
      <c r="J16" s="130" t="s">
        <v>4</v>
      </c>
      <c r="K16" s="6">
        <v>76.010400000000004</v>
      </c>
    </row>
    <row r="17" spans="1:12" x14ac:dyDescent="0.25">
      <c r="A17" s="131" t="s">
        <v>31</v>
      </c>
      <c r="B17" s="135">
        <v>64.146500000000003</v>
      </c>
      <c r="C17" s="136"/>
      <c r="D17" s="2">
        <v>130491</v>
      </c>
      <c r="E17" s="23" t="s">
        <v>35</v>
      </c>
      <c r="F17" s="62" t="s">
        <v>5</v>
      </c>
      <c r="G17" s="63">
        <v>328.83840000000004</v>
      </c>
      <c r="I17" s="5" t="s">
        <v>36</v>
      </c>
      <c r="J17" s="130" t="s">
        <v>4</v>
      </c>
      <c r="K17" s="6">
        <v>99.361944000000008</v>
      </c>
    </row>
    <row r="18" spans="1:12" x14ac:dyDescent="0.25">
      <c r="A18" s="131" t="s">
        <v>34</v>
      </c>
      <c r="B18" s="135">
        <v>95.165800000000004</v>
      </c>
      <c r="C18" s="136"/>
      <c r="D18" s="2">
        <v>130492</v>
      </c>
      <c r="E18" s="23" t="s">
        <v>38</v>
      </c>
      <c r="F18" s="62" t="s">
        <v>5</v>
      </c>
      <c r="G18" s="63">
        <v>39.052799999999998</v>
      </c>
      <c r="I18" s="5" t="s">
        <v>39</v>
      </c>
      <c r="J18" s="130" t="s">
        <v>4</v>
      </c>
      <c r="K18" s="6">
        <v>152.72</v>
      </c>
    </row>
    <row r="19" spans="1:12" x14ac:dyDescent="0.25">
      <c r="A19" s="37" t="s">
        <v>37</v>
      </c>
      <c r="B19" s="134">
        <v>152.71449999999999</v>
      </c>
      <c r="C19" s="6"/>
      <c r="E19" s="23" t="s">
        <v>41</v>
      </c>
      <c r="F19" s="62" t="s">
        <v>4</v>
      </c>
      <c r="G19" s="63">
        <v>69.70320000000001</v>
      </c>
      <c r="H19" s="2">
        <v>419180</v>
      </c>
      <c r="I19" s="5" t="s">
        <v>42</v>
      </c>
      <c r="J19" s="130" t="s">
        <v>4</v>
      </c>
      <c r="K19" s="6">
        <v>222.65</v>
      </c>
    </row>
    <row r="20" spans="1:12" x14ac:dyDescent="0.25">
      <c r="A20" s="37" t="s">
        <v>40</v>
      </c>
      <c r="B20" s="134">
        <v>222.66200000000001</v>
      </c>
      <c r="C20" s="6"/>
      <c r="E20" s="23" t="s">
        <v>44</v>
      </c>
      <c r="F20" s="62" t="s">
        <v>4</v>
      </c>
      <c r="G20" s="63">
        <v>112.56840000000001</v>
      </c>
      <c r="H20" s="2">
        <v>419190</v>
      </c>
      <c r="I20" s="5" t="s">
        <v>45</v>
      </c>
      <c r="J20" s="130" t="s">
        <v>4</v>
      </c>
      <c r="K20" s="6">
        <v>92.620800000000017</v>
      </c>
    </row>
    <row r="21" spans="1:12" x14ac:dyDescent="0.25">
      <c r="A21" s="37" t="s">
        <v>43</v>
      </c>
      <c r="B21" s="134">
        <v>341.56885</v>
      </c>
      <c r="C21" s="6"/>
      <c r="E21" s="23" t="s">
        <v>47</v>
      </c>
      <c r="F21" s="62" t="s">
        <v>4</v>
      </c>
      <c r="G21" s="63">
        <v>174.05280000000002</v>
      </c>
      <c r="H21" s="2">
        <v>419200</v>
      </c>
      <c r="I21" s="5" t="s">
        <v>48</v>
      </c>
      <c r="J21" s="130" t="s">
        <v>4</v>
      </c>
      <c r="K21" s="6">
        <v>144.18</v>
      </c>
    </row>
    <row r="22" spans="1:12" x14ac:dyDescent="0.25">
      <c r="A22" s="37" t="s">
        <v>46</v>
      </c>
      <c r="B22" s="134">
        <v>81.6785</v>
      </c>
      <c r="C22" s="6"/>
      <c r="E22" s="23" t="s">
        <v>50</v>
      </c>
      <c r="F22" s="62" t="s">
        <v>4</v>
      </c>
      <c r="G22" s="63">
        <v>257.78520000000003</v>
      </c>
      <c r="H22" s="2">
        <v>419210</v>
      </c>
      <c r="I22" s="5" t="s">
        <v>51</v>
      </c>
      <c r="J22" s="130" t="s">
        <v>4</v>
      </c>
      <c r="K22" s="6">
        <v>223.06319999999999</v>
      </c>
    </row>
    <row r="23" spans="1:12" ht="15.75" thickBot="1" x14ac:dyDescent="0.3">
      <c r="A23" s="37" t="s">
        <v>49</v>
      </c>
      <c r="B23" s="134">
        <v>132.66295</v>
      </c>
      <c r="C23" s="6"/>
      <c r="E23" s="23" t="s">
        <v>53</v>
      </c>
      <c r="F23" s="62" t="s">
        <v>5</v>
      </c>
      <c r="G23" s="63">
        <v>436.46040000000005</v>
      </c>
      <c r="I23" s="7" t="s">
        <v>54</v>
      </c>
      <c r="J23" s="137" t="s">
        <v>4</v>
      </c>
      <c r="K23" s="8">
        <v>323.79480000000001</v>
      </c>
    </row>
    <row r="24" spans="1:12" ht="16.5" thickTop="1" thickBot="1" x14ac:dyDescent="0.3">
      <c r="A24" s="37" t="s">
        <v>52</v>
      </c>
      <c r="B24" s="134">
        <v>199.80275</v>
      </c>
      <c r="C24" s="6"/>
      <c r="E24" s="23" t="s">
        <v>56</v>
      </c>
      <c r="F24" s="62" t="s">
        <v>5</v>
      </c>
      <c r="G24" s="63">
        <v>674.60040000000004</v>
      </c>
      <c r="I24" s="30"/>
      <c r="J24" s="31"/>
      <c r="K24" s="32"/>
    </row>
    <row r="25" spans="1:12" ht="15.75" thickTop="1" x14ac:dyDescent="0.25">
      <c r="A25" s="37" t="s">
        <v>55</v>
      </c>
      <c r="B25" s="134">
        <v>286.25554999999997</v>
      </c>
      <c r="C25" s="6"/>
      <c r="E25" s="23" t="s">
        <v>58</v>
      </c>
      <c r="F25" s="62" t="s">
        <v>5</v>
      </c>
      <c r="G25" s="63">
        <v>47.876400000000004</v>
      </c>
      <c r="I25" s="34" t="s">
        <v>189</v>
      </c>
      <c r="J25" s="138" t="s">
        <v>59</v>
      </c>
      <c r="K25" s="36">
        <v>38.09190000000001</v>
      </c>
      <c r="L25" s="2">
        <v>316520</v>
      </c>
    </row>
    <row r="26" spans="1:12" x14ac:dyDescent="0.25">
      <c r="A26" s="37" t="s">
        <v>57</v>
      </c>
      <c r="B26" s="134">
        <v>447.09594999999996</v>
      </c>
      <c r="C26" s="6"/>
      <c r="E26" s="23" t="s">
        <v>61</v>
      </c>
      <c r="F26" s="62" t="s">
        <v>4</v>
      </c>
      <c r="G26" s="63">
        <v>87.2316</v>
      </c>
      <c r="H26" s="2">
        <v>419240</v>
      </c>
      <c r="I26" s="37" t="s">
        <v>190</v>
      </c>
      <c r="J26" s="139" t="s">
        <v>59</v>
      </c>
      <c r="K26" s="39">
        <v>57.177120000000002</v>
      </c>
      <c r="L26" s="2">
        <v>316530</v>
      </c>
    </row>
    <row r="27" spans="1:12" x14ac:dyDescent="0.25">
      <c r="A27" s="37" t="s">
        <v>60</v>
      </c>
      <c r="B27" s="134">
        <v>683.61509999999987</v>
      </c>
      <c r="C27" s="6"/>
      <c r="E27" s="23" t="s">
        <v>63</v>
      </c>
      <c r="F27" s="62" t="s">
        <v>4</v>
      </c>
      <c r="G27" s="63">
        <v>138.82320000000001</v>
      </c>
      <c r="H27" s="2">
        <v>419250</v>
      </c>
      <c r="I27" s="37" t="s">
        <v>193</v>
      </c>
      <c r="J27" s="139" t="s">
        <v>59</v>
      </c>
      <c r="K27" s="39">
        <v>88.638000000000005</v>
      </c>
      <c r="L27" s="2">
        <v>316535</v>
      </c>
    </row>
    <row r="28" spans="1:12" x14ac:dyDescent="0.25">
      <c r="A28" s="37" t="s">
        <v>141</v>
      </c>
      <c r="B28" s="134"/>
      <c r="C28" s="6"/>
      <c r="E28" s="23" t="s">
        <v>65</v>
      </c>
      <c r="F28" s="62" t="s">
        <v>4</v>
      </c>
      <c r="G28" s="63">
        <v>216.06480000000002</v>
      </c>
      <c r="H28" s="2">
        <v>419260</v>
      </c>
      <c r="I28" s="37" t="s">
        <v>194</v>
      </c>
      <c r="J28" s="139" t="s">
        <v>59</v>
      </c>
      <c r="K28" s="39">
        <v>127.96410000000002</v>
      </c>
      <c r="L28" s="2">
        <v>316537</v>
      </c>
    </row>
    <row r="29" spans="1:12" x14ac:dyDescent="0.25">
      <c r="A29" s="37" t="s">
        <v>62</v>
      </c>
      <c r="B29" s="134">
        <v>103.55475</v>
      </c>
      <c r="C29" s="6"/>
      <c r="E29" s="23" t="s">
        <v>67</v>
      </c>
      <c r="F29" s="62" t="s">
        <v>4</v>
      </c>
      <c r="G29" s="63">
        <v>320.5548</v>
      </c>
      <c r="H29" s="2">
        <v>419270</v>
      </c>
      <c r="I29" s="140" t="s">
        <v>191</v>
      </c>
      <c r="J29" s="141" t="s">
        <v>59</v>
      </c>
      <c r="K29" s="142">
        <v>55.381920000000008</v>
      </c>
      <c r="L29" s="2">
        <v>316540</v>
      </c>
    </row>
    <row r="30" spans="1:12" x14ac:dyDescent="0.25">
      <c r="A30" s="37" t="s">
        <v>64</v>
      </c>
      <c r="B30" s="134">
        <v>154.30869999999999</v>
      </c>
      <c r="C30" s="6"/>
      <c r="E30" s="23" t="s">
        <v>69</v>
      </c>
      <c r="F30" s="62" t="s">
        <v>5</v>
      </c>
      <c r="G30" s="63">
        <v>545.11920000000009</v>
      </c>
      <c r="I30" s="140" t="s">
        <v>192</v>
      </c>
      <c r="J30" s="141" t="s">
        <v>59</v>
      </c>
      <c r="K30" s="142">
        <v>83.813400000000016</v>
      </c>
      <c r="L30" s="2">
        <v>316550</v>
      </c>
    </row>
    <row r="31" spans="1:12" ht="15.75" thickBot="1" x14ac:dyDescent="0.3">
      <c r="A31" s="37" t="s">
        <v>66</v>
      </c>
      <c r="B31" s="134">
        <v>242.57374999999999</v>
      </c>
      <c r="C31" s="6"/>
      <c r="E31" s="26" t="s">
        <v>71</v>
      </c>
      <c r="F31" s="58" t="s">
        <v>5</v>
      </c>
      <c r="G31" s="64">
        <v>842.29200000000003</v>
      </c>
      <c r="I31" s="37" t="s">
        <v>195</v>
      </c>
      <c r="J31" s="139" t="s">
        <v>59</v>
      </c>
      <c r="K31" s="39">
        <v>130.73544000000001</v>
      </c>
      <c r="L31" s="2">
        <v>451410</v>
      </c>
    </row>
    <row r="32" spans="1:12" ht="16.5" thickTop="1" thickBot="1" x14ac:dyDescent="0.3">
      <c r="A32" s="37" t="s">
        <v>68</v>
      </c>
      <c r="B32" s="134">
        <v>326.57425000000001</v>
      </c>
      <c r="C32" s="6"/>
      <c r="E32" s="65"/>
      <c r="F32" s="65"/>
      <c r="G32" s="143"/>
      <c r="I32" s="37" t="s">
        <v>196</v>
      </c>
      <c r="J32" s="139" t="s">
        <v>59</v>
      </c>
      <c r="K32" s="39">
        <v>190.4034</v>
      </c>
      <c r="L32" s="2">
        <v>451420</v>
      </c>
    </row>
    <row r="33" spans="1:12" ht="15.75" thickTop="1" x14ac:dyDescent="0.25">
      <c r="A33" s="37" t="s">
        <v>70</v>
      </c>
      <c r="B33" s="134">
        <v>553.34940000000006</v>
      </c>
      <c r="C33" s="6"/>
      <c r="E33" s="20" t="s">
        <v>74</v>
      </c>
      <c r="F33" s="21" t="s">
        <v>59</v>
      </c>
      <c r="G33" s="10">
        <v>13.816000000000003</v>
      </c>
      <c r="H33" s="2">
        <v>129721</v>
      </c>
      <c r="I33" s="37" t="s">
        <v>185</v>
      </c>
      <c r="J33" s="139" t="s">
        <v>59</v>
      </c>
      <c r="K33" s="39">
        <v>75.823000000000008</v>
      </c>
      <c r="L33" s="2">
        <v>451430</v>
      </c>
    </row>
    <row r="34" spans="1:12" ht="15.75" thickBot="1" x14ac:dyDescent="0.3">
      <c r="A34" s="37" t="s">
        <v>72</v>
      </c>
      <c r="B34" s="134">
        <v>849.67680000000007</v>
      </c>
      <c r="C34" s="6"/>
      <c r="E34" s="26" t="s">
        <v>76</v>
      </c>
      <c r="F34" s="27" t="s">
        <v>59</v>
      </c>
      <c r="G34" s="14">
        <v>18.535000000000004</v>
      </c>
      <c r="H34" s="2">
        <v>129722</v>
      </c>
      <c r="I34" s="37" t="s">
        <v>186</v>
      </c>
      <c r="J34" s="139" t="s">
        <v>59</v>
      </c>
      <c r="K34" s="39">
        <v>114.82900000000001</v>
      </c>
      <c r="L34" s="2">
        <v>451440</v>
      </c>
    </row>
    <row r="35" spans="1:12" ht="16.5" thickTop="1" thickBot="1" x14ac:dyDescent="0.3">
      <c r="A35" s="37" t="s">
        <v>73</v>
      </c>
      <c r="B35" s="134">
        <v>1391.7556</v>
      </c>
      <c r="C35" s="6"/>
      <c r="E35" s="65"/>
      <c r="F35" s="65"/>
      <c r="G35" s="66"/>
      <c r="I35" s="37" t="s">
        <v>197</v>
      </c>
      <c r="J35" s="139" t="s">
        <v>59</v>
      </c>
      <c r="K35" s="39">
        <v>177.56200000000001</v>
      </c>
      <c r="L35" s="2">
        <v>451450</v>
      </c>
    </row>
    <row r="36" spans="1:12" ht="15.75" thickTop="1" x14ac:dyDescent="0.25">
      <c r="A36" s="37" t="s">
        <v>75</v>
      </c>
      <c r="B36" s="134">
        <v>1891.0410000000002</v>
      </c>
      <c r="C36" s="6"/>
      <c r="E36" s="20" t="s">
        <v>77</v>
      </c>
      <c r="F36" s="54" t="s">
        <v>4</v>
      </c>
      <c r="G36" s="10">
        <v>178.79400000000001</v>
      </c>
      <c r="H36" s="2">
        <v>259662</v>
      </c>
      <c r="I36" s="37" t="s">
        <v>198</v>
      </c>
      <c r="J36" s="139" t="s">
        <v>59</v>
      </c>
      <c r="K36" s="39">
        <v>255.78300000000002</v>
      </c>
      <c r="L36" s="2">
        <v>451460</v>
      </c>
    </row>
    <row r="37" spans="1:12" x14ac:dyDescent="0.25">
      <c r="A37" s="37" t="s">
        <v>142</v>
      </c>
      <c r="B37" s="134"/>
      <c r="C37" s="6"/>
      <c r="E37" s="23" t="s">
        <v>183</v>
      </c>
      <c r="F37" s="62" t="s">
        <v>4</v>
      </c>
      <c r="G37" s="12">
        <v>269.6112</v>
      </c>
      <c r="H37" s="2">
        <v>259664</v>
      </c>
      <c r="I37" s="37" t="s">
        <v>187</v>
      </c>
      <c r="J37" s="139" t="s">
        <v>59</v>
      </c>
      <c r="K37" s="39">
        <v>94.061000000000007</v>
      </c>
      <c r="L37" s="2">
        <v>451470</v>
      </c>
    </row>
    <row r="38" spans="1:12" ht="15.75" thickBot="1" x14ac:dyDescent="0.3">
      <c r="A38" s="40" t="s">
        <v>143</v>
      </c>
      <c r="B38" s="129"/>
      <c r="C38" s="8"/>
      <c r="E38" s="23" t="s">
        <v>78</v>
      </c>
      <c r="F38" s="62" t="s">
        <v>4</v>
      </c>
      <c r="G38" s="12">
        <v>372.58920000000006</v>
      </c>
      <c r="H38" s="2">
        <v>259668</v>
      </c>
      <c r="I38" s="37" t="s">
        <v>188</v>
      </c>
      <c r="J38" s="139" t="s">
        <v>59</v>
      </c>
      <c r="K38" s="39">
        <v>142.56</v>
      </c>
      <c r="L38" s="2">
        <v>451480</v>
      </c>
    </row>
    <row r="39" spans="1:12" ht="16.5" thickTop="1" thickBot="1" x14ac:dyDescent="0.3">
      <c r="B39" s="29"/>
      <c r="C39" s="29"/>
      <c r="E39" s="23" t="s">
        <v>79</v>
      </c>
      <c r="F39" s="62" t="s">
        <v>4</v>
      </c>
      <c r="G39" s="12">
        <v>46.245600000000003</v>
      </c>
      <c r="H39" s="2">
        <v>259670</v>
      </c>
      <c r="I39" s="37" t="s">
        <v>199</v>
      </c>
      <c r="J39" s="139" t="s">
        <v>59</v>
      </c>
      <c r="K39" s="39">
        <v>220.94600000000003</v>
      </c>
      <c r="L39" s="2">
        <v>451490</v>
      </c>
    </row>
    <row r="40" spans="1:12" ht="16.5" thickTop="1" thickBot="1" x14ac:dyDescent="0.3">
      <c r="A40" s="34" t="s">
        <v>164</v>
      </c>
      <c r="B40" s="113">
        <v>55.851600000000005</v>
      </c>
      <c r="C40" s="4"/>
      <c r="E40" s="23" t="s">
        <v>80</v>
      </c>
      <c r="F40" s="62" t="s">
        <v>4</v>
      </c>
      <c r="G40" s="12">
        <v>67.305599999999998</v>
      </c>
      <c r="H40" s="2">
        <v>259680</v>
      </c>
      <c r="I40" s="40" t="s">
        <v>200</v>
      </c>
      <c r="J40" s="144" t="s">
        <v>59</v>
      </c>
      <c r="K40" s="42">
        <v>320.50700000000001</v>
      </c>
      <c r="L40" s="2">
        <v>451500</v>
      </c>
    </row>
    <row r="41" spans="1:12" ht="16.5" thickTop="1" thickBot="1" x14ac:dyDescent="0.3">
      <c r="A41" s="37" t="s">
        <v>165</v>
      </c>
      <c r="B41" s="134">
        <v>83.374099999999999</v>
      </c>
      <c r="C41" s="6"/>
      <c r="E41" s="23" t="s">
        <v>82</v>
      </c>
      <c r="F41" s="62" t="s">
        <v>4</v>
      </c>
      <c r="G41" s="12">
        <v>101.2068</v>
      </c>
      <c r="H41" s="2">
        <v>259690</v>
      </c>
      <c r="K41" s="33"/>
    </row>
    <row r="42" spans="1:12" ht="15.75" thickTop="1" x14ac:dyDescent="0.25">
      <c r="A42" s="145"/>
      <c r="B42" s="146"/>
      <c r="C42" s="127"/>
      <c r="E42" s="120" t="s">
        <v>84</v>
      </c>
      <c r="F42" s="121" t="s">
        <v>4</v>
      </c>
      <c r="G42" s="147">
        <v>66.344400000000007</v>
      </c>
      <c r="H42" s="2">
        <v>259700</v>
      </c>
      <c r="I42" s="34" t="s">
        <v>81</v>
      </c>
      <c r="J42" s="35" t="s">
        <v>5</v>
      </c>
      <c r="K42" s="36">
        <v>78.127200000000002</v>
      </c>
      <c r="L42" s="2" t="s">
        <v>208</v>
      </c>
    </row>
    <row r="43" spans="1:12" x14ac:dyDescent="0.25">
      <c r="A43" s="140" t="s">
        <v>151</v>
      </c>
      <c r="B43" s="148">
        <v>72.846000000000004</v>
      </c>
      <c r="C43" s="149"/>
      <c r="E43" s="120" t="s">
        <v>86</v>
      </c>
      <c r="F43" s="121" t="s">
        <v>4</v>
      </c>
      <c r="G43" s="147">
        <v>91.692000000000007</v>
      </c>
      <c r="H43" s="2">
        <v>259710</v>
      </c>
      <c r="I43" s="37" t="s">
        <v>83</v>
      </c>
      <c r="J43" s="38" t="s">
        <v>5</v>
      </c>
      <c r="K43" s="39">
        <v>110.4516</v>
      </c>
      <c r="L43" s="2" t="s">
        <v>209</v>
      </c>
    </row>
    <row r="44" spans="1:12" x14ac:dyDescent="0.25">
      <c r="A44" s="145"/>
      <c r="B44" s="146"/>
      <c r="C44" s="127"/>
      <c r="E44" s="23" t="s">
        <v>88</v>
      </c>
      <c r="F44" s="62" t="s">
        <v>4</v>
      </c>
      <c r="G44" s="12">
        <v>147.13920000000002</v>
      </c>
      <c r="H44" s="2">
        <v>259720</v>
      </c>
      <c r="I44" s="37" t="s">
        <v>85</v>
      </c>
      <c r="J44" s="38" t="s">
        <v>5</v>
      </c>
      <c r="K44" s="39">
        <v>165.33720000000002</v>
      </c>
      <c r="L44" s="2" t="s">
        <v>210</v>
      </c>
    </row>
    <row r="45" spans="1:12" x14ac:dyDescent="0.25">
      <c r="A45" s="140" t="s">
        <v>152</v>
      </c>
      <c r="B45" s="148">
        <v>105.1704</v>
      </c>
      <c r="C45" s="149"/>
      <c r="E45" s="23" t="s">
        <v>89</v>
      </c>
      <c r="F45" s="62" t="s">
        <v>4</v>
      </c>
      <c r="G45" s="12">
        <v>79.131600000000006</v>
      </c>
      <c r="H45" s="2">
        <v>259730</v>
      </c>
      <c r="I45" s="37" t="s">
        <v>87</v>
      </c>
      <c r="J45" s="38" t="s">
        <v>5</v>
      </c>
      <c r="K45" s="39">
        <v>230.6448</v>
      </c>
      <c r="L45" s="2" t="s">
        <v>211</v>
      </c>
    </row>
    <row r="46" spans="1:12" x14ac:dyDescent="0.25">
      <c r="A46" s="145"/>
      <c r="B46" s="146"/>
      <c r="C46" s="149"/>
      <c r="E46" s="23" t="s">
        <v>91</v>
      </c>
      <c r="F46" s="62" t="s">
        <v>4</v>
      </c>
      <c r="G46" s="12">
        <v>119.0592</v>
      </c>
      <c r="H46" s="2">
        <v>259740</v>
      </c>
      <c r="I46" s="37" t="s">
        <v>144</v>
      </c>
      <c r="J46" s="38" t="s">
        <v>5</v>
      </c>
      <c r="K46" s="39">
        <v>360.53640000000001</v>
      </c>
      <c r="L46" s="2" t="s">
        <v>212</v>
      </c>
    </row>
    <row r="47" spans="1:12" x14ac:dyDescent="0.25">
      <c r="A47" s="37" t="s">
        <v>166</v>
      </c>
      <c r="B47" s="134">
        <v>161.05840000000001</v>
      </c>
      <c r="C47" s="6"/>
      <c r="E47" s="23" t="s">
        <v>93</v>
      </c>
      <c r="F47" s="62" t="s">
        <v>4</v>
      </c>
      <c r="G47" s="12">
        <v>188.6328</v>
      </c>
      <c r="H47" s="2">
        <v>259750</v>
      </c>
      <c r="I47" s="37"/>
      <c r="J47" s="38"/>
      <c r="K47" s="39"/>
    </row>
    <row r="48" spans="1:12" x14ac:dyDescent="0.25">
      <c r="A48" s="37" t="s">
        <v>167</v>
      </c>
      <c r="B48" s="134">
        <v>226.16410000000002</v>
      </c>
      <c r="C48" s="6"/>
      <c r="E48" s="23" t="s">
        <v>95</v>
      </c>
      <c r="F48" s="62" t="s">
        <v>4</v>
      </c>
      <c r="G48" s="12">
        <v>273.53160000000003</v>
      </c>
      <c r="H48" s="2">
        <v>259760</v>
      </c>
      <c r="I48" s="37" t="s">
        <v>90</v>
      </c>
      <c r="J48" s="38" t="s">
        <v>5</v>
      </c>
      <c r="K48" s="39">
        <v>212.07960000000003</v>
      </c>
      <c r="L48" s="2" t="s">
        <v>213</v>
      </c>
    </row>
    <row r="49" spans="1:12" x14ac:dyDescent="0.25">
      <c r="A49" s="37" t="s">
        <v>168</v>
      </c>
      <c r="B49" s="134">
        <v>366.06560000000002</v>
      </c>
      <c r="C49" s="6"/>
      <c r="E49" s="23" t="s">
        <v>97</v>
      </c>
      <c r="F49" s="62" t="s">
        <v>4</v>
      </c>
      <c r="G49" s="12">
        <v>467.86680000000001</v>
      </c>
      <c r="H49" s="2">
        <v>259764</v>
      </c>
      <c r="I49" s="37" t="s">
        <v>92</v>
      </c>
      <c r="J49" s="38" t="s">
        <v>5</v>
      </c>
      <c r="K49" s="39">
        <v>290.43360000000001</v>
      </c>
      <c r="L49" s="2" t="s">
        <v>214</v>
      </c>
    </row>
    <row r="50" spans="1:12" x14ac:dyDescent="0.25">
      <c r="A50" s="37" t="s">
        <v>169</v>
      </c>
      <c r="B50" s="134">
        <v>92.301200000000009</v>
      </c>
      <c r="C50" s="6"/>
      <c r="E50" s="23" t="s">
        <v>98</v>
      </c>
      <c r="F50" s="62" t="s">
        <v>4</v>
      </c>
      <c r="G50" s="12">
        <v>700.22880000000009</v>
      </c>
      <c r="H50" s="2">
        <v>259766</v>
      </c>
      <c r="I50" s="37" t="s">
        <v>94</v>
      </c>
      <c r="J50" s="38" t="s">
        <v>5</v>
      </c>
      <c r="K50" s="39">
        <v>443.88000000000005</v>
      </c>
      <c r="L50" s="2" t="s">
        <v>215</v>
      </c>
    </row>
    <row r="51" spans="1:12" x14ac:dyDescent="0.25">
      <c r="A51" s="37" t="s">
        <v>170</v>
      </c>
      <c r="B51" s="134">
        <v>137.86320000000001</v>
      </c>
      <c r="C51" s="6"/>
      <c r="E51" s="23" t="s">
        <v>100</v>
      </c>
      <c r="F51" s="62" t="s">
        <v>4</v>
      </c>
      <c r="G51" s="12">
        <v>97.0488</v>
      </c>
      <c r="H51" s="2">
        <v>259770</v>
      </c>
      <c r="I51" s="37" t="s">
        <v>96</v>
      </c>
      <c r="J51" s="38" t="s">
        <v>5</v>
      </c>
      <c r="K51" s="39">
        <v>678.24</v>
      </c>
      <c r="L51" s="2" t="s">
        <v>216</v>
      </c>
    </row>
    <row r="52" spans="1:12" x14ac:dyDescent="0.25">
      <c r="A52" s="37" t="s">
        <v>171</v>
      </c>
      <c r="B52" s="134">
        <v>218.32700000000003</v>
      </c>
      <c r="C52" s="6"/>
      <c r="E52" s="23" t="s">
        <v>102</v>
      </c>
      <c r="F52" s="62" t="s">
        <v>4</v>
      </c>
      <c r="G52" s="12">
        <v>148.17599999999999</v>
      </c>
      <c r="H52" s="2">
        <v>259780</v>
      </c>
      <c r="I52" s="37"/>
      <c r="J52" s="38"/>
      <c r="K52" s="39"/>
    </row>
    <row r="53" spans="1:12" x14ac:dyDescent="0.25">
      <c r="A53" s="37" t="s">
        <v>172</v>
      </c>
      <c r="B53" s="134">
        <v>293.21000000000004</v>
      </c>
      <c r="C53" s="6"/>
      <c r="E53" s="23" t="s">
        <v>104</v>
      </c>
      <c r="F53" s="62" t="s">
        <v>4</v>
      </c>
      <c r="G53" s="12">
        <v>232.95599999999999</v>
      </c>
      <c r="H53" s="2">
        <v>259790</v>
      </c>
      <c r="I53" s="37" t="s">
        <v>99</v>
      </c>
      <c r="J53" s="38" t="s">
        <v>5</v>
      </c>
      <c r="K53" s="39">
        <v>109.93320000000001</v>
      </c>
      <c r="L53" s="2" t="s">
        <v>217</v>
      </c>
    </row>
    <row r="54" spans="1:12" x14ac:dyDescent="0.25">
      <c r="A54" s="37" t="s">
        <v>173</v>
      </c>
      <c r="B54" s="134">
        <v>477.13660000000004</v>
      </c>
      <c r="C54" s="6"/>
      <c r="E54" s="23" t="s">
        <v>106</v>
      </c>
      <c r="F54" s="62" t="s">
        <v>4</v>
      </c>
      <c r="G54" s="12">
        <v>337.71600000000001</v>
      </c>
      <c r="H54" s="2">
        <v>259800</v>
      </c>
      <c r="I54" s="37" t="s">
        <v>101</v>
      </c>
      <c r="J54" s="38" t="s">
        <v>5</v>
      </c>
      <c r="K54" s="39">
        <v>169.29000000000002</v>
      </c>
      <c r="L54" s="2" t="s">
        <v>218</v>
      </c>
    </row>
    <row r="55" spans="1:12" x14ac:dyDescent="0.25">
      <c r="A55" s="37" t="s">
        <v>174</v>
      </c>
      <c r="B55" s="134">
        <v>110.70040000000002</v>
      </c>
      <c r="C55" s="6"/>
      <c r="E55" s="23" t="s">
        <v>108</v>
      </c>
      <c r="F55" s="62" t="s">
        <v>4</v>
      </c>
      <c r="G55" s="12">
        <v>577.34640000000013</v>
      </c>
      <c r="H55" s="2">
        <v>259810</v>
      </c>
      <c r="I55" s="37" t="s">
        <v>103</v>
      </c>
      <c r="J55" s="38" t="s">
        <v>5</v>
      </c>
      <c r="K55" s="39">
        <v>259.11360000000002</v>
      </c>
      <c r="L55" s="2" t="s">
        <v>219</v>
      </c>
    </row>
    <row r="56" spans="1:12" ht="15.75" thickBot="1" x14ac:dyDescent="0.3">
      <c r="A56" s="37" t="s">
        <v>175</v>
      </c>
      <c r="B56" s="134">
        <v>167.42400000000001</v>
      </c>
      <c r="C56" s="6"/>
      <c r="E56" s="26"/>
      <c r="F56" s="58"/>
      <c r="G56" s="14"/>
      <c r="I56" s="37" t="s">
        <v>105</v>
      </c>
      <c r="J56" s="38" t="s">
        <v>5</v>
      </c>
      <c r="K56" s="39">
        <v>359.71559999999999</v>
      </c>
      <c r="L56" s="2" t="s">
        <v>220</v>
      </c>
    </row>
    <row r="57" spans="1:12" ht="15.75" thickTop="1" x14ac:dyDescent="0.25">
      <c r="A57" s="37" t="s">
        <v>176</v>
      </c>
      <c r="B57" s="134">
        <v>253.01080000000002</v>
      </c>
      <c r="C57" s="6"/>
      <c r="E57" s="59"/>
      <c r="F57" s="59"/>
      <c r="G57" s="67"/>
      <c r="I57" s="37" t="s">
        <v>107</v>
      </c>
      <c r="J57" s="38" t="s">
        <v>5</v>
      </c>
      <c r="K57" s="39">
        <v>572.40000000000009</v>
      </c>
      <c r="L57" s="2" t="s">
        <v>221</v>
      </c>
    </row>
    <row r="58" spans="1:12" ht="15.75" thickBot="1" x14ac:dyDescent="0.3">
      <c r="A58" s="37" t="s">
        <v>177</v>
      </c>
      <c r="B58" s="134">
        <v>359.46019999999999</v>
      </c>
      <c r="C58" s="6"/>
      <c r="F58" s="68" t="s">
        <v>111</v>
      </c>
      <c r="G58" s="69"/>
      <c r="I58" s="40" t="s">
        <v>109</v>
      </c>
      <c r="J58" s="41" t="s">
        <v>5</v>
      </c>
      <c r="K58" s="42">
        <v>868.77359999999999</v>
      </c>
      <c r="L58" s="2" t="s">
        <v>222</v>
      </c>
    </row>
    <row r="59" spans="1:12" ht="16.5" thickTop="1" thickBot="1" x14ac:dyDescent="0.3">
      <c r="A59" s="37" t="s">
        <v>178</v>
      </c>
      <c r="B59" s="134">
        <v>586.46360000000004</v>
      </c>
      <c r="C59" s="6"/>
      <c r="E59" s="100" t="s">
        <v>153</v>
      </c>
      <c r="F59" s="150"/>
      <c r="G59" s="4">
        <v>65.000624000000016</v>
      </c>
      <c r="J59" s="43"/>
      <c r="K59" s="33"/>
    </row>
    <row r="60" spans="1:12" ht="16.5" thickTop="1" thickBot="1" x14ac:dyDescent="0.3">
      <c r="A60" s="37" t="s">
        <v>179</v>
      </c>
      <c r="B60" s="134">
        <v>892.52470000000017</v>
      </c>
      <c r="C60" s="6"/>
      <c r="E60" s="94" t="s">
        <v>154</v>
      </c>
      <c r="F60" s="151"/>
      <c r="G60" s="6">
        <v>89.445400000000006</v>
      </c>
      <c r="I60" s="152" t="s">
        <v>138</v>
      </c>
      <c r="J60" s="153" t="s">
        <v>5</v>
      </c>
      <c r="K60" s="154">
        <v>173.25</v>
      </c>
    </row>
    <row r="61" spans="1:12" ht="16.5" thickTop="1" thickBot="1" x14ac:dyDescent="0.3">
      <c r="A61" s="37" t="s">
        <v>180</v>
      </c>
      <c r="B61" s="134">
        <v>1459.0740000000001</v>
      </c>
      <c r="C61" s="6"/>
      <c r="E61" s="120" t="s">
        <v>155</v>
      </c>
      <c r="F61" s="155"/>
      <c r="G61" s="147">
        <v>85.488700000000009</v>
      </c>
      <c r="K61" s="47"/>
    </row>
    <row r="62" spans="1:12" ht="15.75" thickTop="1" x14ac:dyDescent="0.25">
      <c r="A62" s="37" t="s">
        <v>181</v>
      </c>
      <c r="B62" s="134">
        <v>1974.3715</v>
      </c>
      <c r="C62" s="6"/>
      <c r="E62" s="120" t="s">
        <v>156</v>
      </c>
      <c r="F62" s="155"/>
      <c r="G62" s="147">
        <v>119.9</v>
      </c>
      <c r="I62" s="20" t="s">
        <v>110</v>
      </c>
      <c r="J62" s="48" t="s">
        <v>5</v>
      </c>
      <c r="K62" s="22">
        <v>42.801000000000002</v>
      </c>
    </row>
    <row r="63" spans="1:12" x14ac:dyDescent="0.25">
      <c r="A63" s="156" t="s">
        <v>182</v>
      </c>
      <c r="B63" s="157">
        <v>2680.0484000000006</v>
      </c>
      <c r="C63" s="158"/>
      <c r="E63" s="94" t="s">
        <v>157</v>
      </c>
      <c r="F63" s="151"/>
      <c r="G63" s="6">
        <v>174.4</v>
      </c>
      <c r="I63" s="23" t="s">
        <v>112</v>
      </c>
      <c r="J63" s="49" t="s">
        <v>5</v>
      </c>
      <c r="K63" s="25">
        <v>83.039000000000001</v>
      </c>
    </row>
    <row r="64" spans="1:12" ht="15.75" thickBot="1" x14ac:dyDescent="0.3">
      <c r="A64" s="40" t="s">
        <v>184</v>
      </c>
      <c r="B64" s="129">
        <v>3969.4639000000002</v>
      </c>
      <c r="C64" s="8"/>
      <c r="E64" s="94" t="s">
        <v>158</v>
      </c>
      <c r="F64" s="151"/>
      <c r="G64" s="6">
        <v>129.93889999999999</v>
      </c>
      <c r="I64" s="26" t="s">
        <v>113</v>
      </c>
      <c r="J64" s="50" t="s">
        <v>5</v>
      </c>
      <c r="K64" s="28"/>
    </row>
    <row r="65" spans="1:12" ht="16.5" thickTop="1" thickBot="1" x14ac:dyDescent="0.3">
      <c r="B65" s="29"/>
      <c r="C65" s="29"/>
      <c r="E65" s="94" t="s">
        <v>159</v>
      </c>
      <c r="F65" s="151"/>
      <c r="G65" s="6">
        <v>184.864</v>
      </c>
      <c r="K65" s="47"/>
    </row>
    <row r="66" spans="1:12" ht="15.75" thickTop="1" x14ac:dyDescent="0.25">
      <c r="A66" s="34" t="s">
        <v>114</v>
      </c>
      <c r="B66" s="113"/>
      <c r="C66" s="4"/>
      <c r="E66" s="94" t="s">
        <v>160</v>
      </c>
      <c r="F66" s="151"/>
      <c r="G66" s="6">
        <v>273.78620000000001</v>
      </c>
      <c r="I66" s="20" t="s">
        <v>115</v>
      </c>
      <c r="J66" s="48" t="s">
        <v>5</v>
      </c>
      <c r="K66" s="51">
        <v>45.093299999999999</v>
      </c>
      <c r="L66" s="2">
        <v>451330</v>
      </c>
    </row>
    <row r="67" spans="1:12" x14ac:dyDescent="0.25">
      <c r="A67" s="37" t="s">
        <v>116</v>
      </c>
      <c r="B67" s="134"/>
      <c r="C67" s="6"/>
      <c r="E67" s="94" t="s">
        <v>161</v>
      </c>
      <c r="F67" s="151"/>
      <c r="G67" s="6">
        <v>388.09450000000004</v>
      </c>
      <c r="I67" s="23" t="s">
        <v>117</v>
      </c>
      <c r="J67" s="49" t="s">
        <v>5</v>
      </c>
      <c r="K67" s="52">
        <v>58.609300000000005</v>
      </c>
      <c r="L67" s="2">
        <v>451340</v>
      </c>
    </row>
    <row r="68" spans="1:12" x14ac:dyDescent="0.25">
      <c r="A68" s="140" t="s">
        <v>118</v>
      </c>
      <c r="B68" s="148">
        <v>76.365400000000008</v>
      </c>
      <c r="C68" s="127"/>
      <c r="E68" s="94" t="s">
        <v>162</v>
      </c>
      <c r="F68" s="151"/>
      <c r="G68" s="6">
        <v>622.84780000000001</v>
      </c>
      <c r="I68" s="23" t="s">
        <v>119</v>
      </c>
      <c r="J68" s="49" t="s">
        <v>5</v>
      </c>
      <c r="K68" s="52">
        <v>86.240800000000007</v>
      </c>
      <c r="L68" s="2">
        <v>451350</v>
      </c>
    </row>
    <row r="69" spans="1:12" ht="15.75" thickBot="1" x14ac:dyDescent="0.3">
      <c r="A69" s="140" t="s">
        <v>121</v>
      </c>
      <c r="B69" s="148">
        <v>109.20710000000001</v>
      </c>
      <c r="C69" s="127"/>
      <c r="E69" s="96" t="s">
        <v>163</v>
      </c>
      <c r="F69" s="159"/>
      <c r="G69" s="8">
        <v>935.78680000000008</v>
      </c>
      <c r="I69" s="26" t="s">
        <v>120</v>
      </c>
      <c r="J69" s="50" t="s">
        <v>5</v>
      </c>
      <c r="K69" s="53">
        <v>116.194</v>
      </c>
      <c r="L69" s="2">
        <v>451360</v>
      </c>
    </row>
    <row r="70" spans="1:12" ht="16.5" thickTop="1" thickBot="1" x14ac:dyDescent="0.3">
      <c r="A70" s="37" t="s">
        <v>123</v>
      </c>
      <c r="B70" s="134"/>
      <c r="C70" s="6"/>
      <c r="E70" s="70"/>
      <c r="F70" s="32"/>
      <c r="G70" s="32"/>
      <c r="K70" s="47"/>
    </row>
    <row r="71" spans="1:12" ht="16.5" thickTop="1" thickBot="1" x14ac:dyDescent="0.3">
      <c r="A71" s="37" t="s">
        <v>125</v>
      </c>
      <c r="B71" s="134"/>
      <c r="C71" s="6"/>
      <c r="E71" s="160" t="s">
        <v>136</v>
      </c>
      <c r="F71" s="161" t="s">
        <v>137</v>
      </c>
      <c r="G71" s="162">
        <v>72.499600999999998</v>
      </c>
      <c r="I71" s="20" t="s">
        <v>150</v>
      </c>
      <c r="J71" s="54" t="s">
        <v>5</v>
      </c>
      <c r="K71" s="22">
        <v>26.29</v>
      </c>
    </row>
    <row r="72" spans="1:12" ht="15.75" thickTop="1" x14ac:dyDescent="0.25">
      <c r="A72" s="37" t="s">
        <v>127</v>
      </c>
      <c r="B72" s="134"/>
      <c r="C72" s="6"/>
      <c r="E72" s="74"/>
      <c r="F72" s="75"/>
      <c r="G72" s="163"/>
      <c r="I72" s="55" t="s">
        <v>122</v>
      </c>
      <c r="J72" s="56" t="s">
        <v>5</v>
      </c>
      <c r="K72" s="57">
        <v>41.646000000000001</v>
      </c>
      <c r="L72" s="18">
        <v>451190</v>
      </c>
    </row>
    <row r="73" spans="1:12" ht="15.75" thickBot="1" x14ac:dyDescent="0.3">
      <c r="A73" s="37" t="s">
        <v>129</v>
      </c>
      <c r="B73" s="134"/>
      <c r="C73" s="6"/>
      <c r="F73" s="77" t="s">
        <v>149</v>
      </c>
      <c r="G73" s="69"/>
      <c r="I73" s="23" t="s">
        <v>124</v>
      </c>
      <c r="J73" s="56" t="s">
        <v>5</v>
      </c>
      <c r="K73" s="25">
        <v>62.106000000000009</v>
      </c>
      <c r="L73" s="18">
        <v>451240</v>
      </c>
    </row>
    <row r="74" spans="1:12" ht="15.75" thickTop="1" x14ac:dyDescent="0.25">
      <c r="A74" s="37" t="s">
        <v>131</v>
      </c>
      <c r="B74" s="134"/>
      <c r="C74" s="6"/>
      <c r="E74" s="20" t="s">
        <v>145</v>
      </c>
      <c r="F74" s="78" t="s">
        <v>5</v>
      </c>
      <c r="G74" s="4">
        <v>33.968000000000004</v>
      </c>
      <c r="H74" s="2">
        <v>525740</v>
      </c>
      <c r="I74" s="23" t="s">
        <v>126</v>
      </c>
      <c r="J74" s="56" t="s">
        <v>5</v>
      </c>
      <c r="K74" s="25">
        <v>106.447</v>
      </c>
      <c r="L74" s="18">
        <v>451290</v>
      </c>
    </row>
    <row r="75" spans="1:12" x14ac:dyDescent="0.25">
      <c r="A75" s="37" t="s">
        <v>133</v>
      </c>
      <c r="B75" s="134"/>
      <c r="C75" s="6"/>
      <c r="E75" s="23" t="s">
        <v>146</v>
      </c>
      <c r="F75" s="79" t="s">
        <v>5</v>
      </c>
      <c r="G75" s="6">
        <v>53.977000000000004</v>
      </c>
      <c r="H75" s="2">
        <v>525745</v>
      </c>
      <c r="I75" s="23" t="s">
        <v>128</v>
      </c>
      <c r="J75" s="56" t="s">
        <v>5</v>
      </c>
      <c r="K75" s="25">
        <v>163.06400000000002</v>
      </c>
      <c r="L75" s="18">
        <v>451300</v>
      </c>
    </row>
    <row r="76" spans="1:12" x14ac:dyDescent="0.25">
      <c r="A76" s="37" t="s">
        <v>134</v>
      </c>
      <c r="B76" s="134"/>
      <c r="C76" s="6"/>
      <c r="E76" s="23" t="s">
        <v>147</v>
      </c>
      <c r="F76" s="79" t="s">
        <v>5</v>
      </c>
      <c r="G76" s="6">
        <v>50.94100000000001</v>
      </c>
      <c r="H76" s="2">
        <v>525750</v>
      </c>
      <c r="I76" s="23" t="s">
        <v>130</v>
      </c>
      <c r="J76" s="56" t="s">
        <v>5</v>
      </c>
      <c r="K76" s="25">
        <v>192.25800000000001</v>
      </c>
      <c r="L76" s="18">
        <v>451310</v>
      </c>
    </row>
    <row r="77" spans="1:12" ht="15.75" thickBot="1" x14ac:dyDescent="0.3">
      <c r="A77" s="40" t="s">
        <v>135</v>
      </c>
      <c r="B77" s="129"/>
      <c r="C77" s="8"/>
      <c r="E77" s="26" t="s">
        <v>148</v>
      </c>
      <c r="F77" s="80" t="s">
        <v>5</v>
      </c>
      <c r="G77" s="8">
        <v>80.575000000000003</v>
      </c>
      <c r="H77" s="2">
        <v>525755</v>
      </c>
      <c r="I77" s="26" t="s">
        <v>132</v>
      </c>
      <c r="J77" s="58" t="s">
        <v>5</v>
      </c>
      <c r="K77" s="28">
        <v>268.35600000000005</v>
      </c>
      <c r="L77" s="18">
        <v>451320</v>
      </c>
    </row>
    <row r="78" spans="1:12" ht="15.75" thickTop="1" x14ac:dyDescent="0.25">
      <c r="I78" s="59"/>
      <c r="J78" s="59"/>
      <c r="K78" s="60"/>
    </row>
  </sheetData>
  <mergeCells count="20">
    <mergeCell ref="E66:F66"/>
    <mergeCell ref="E67:F67"/>
    <mergeCell ref="E68:F68"/>
    <mergeCell ref="E69:F69"/>
    <mergeCell ref="K4:K5"/>
    <mergeCell ref="E59:F59"/>
    <mergeCell ref="E60:F60"/>
    <mergeCell ref="E63:F63"/>
    <mergeCell ref="E64:F64"/>
    <mergeCell ref="E65:F65"/>
    <mergeCell ref="A1:I2"/>
    <mergeCell ref="J1:K1"/>
    <mergeCell ref="J2:K2"/>
    <mergeCell ref="A4:A5"/>
    <mergeCell ref="B4:C4"/>
    <mergeCell ref="E4:E5"/>
    <mergeCell ref="F4:F5"/>
    <mergeCell ref="G4:G5"/>
    <mergeCell ref="I4:I5"/>
    <mergeCell ref="J4:J5"/>
  </mergeCells>
  <printOptions horizontalCentered="1" verticalCentered="1"/>
  <pageMargins left="0" right="0" top="0" bottom="0" header="0" footer="0"/>
  <pageSetup paperSize="9" scale="5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84E7F-6733-4ABF-8D0A-E554FF5B4C38}">
  <sheetPr codeName="Лист7">
    <pageSetUpPr fitToPage="1"/>
  </sheetPr>
  <dimension ref="A1:M78"/>
  <sheetViews>
    <sheetView zoomScale="115" zoomScaleNormal="115" workbookViewId="0">
      <selection activeCell="H73" sqref="H73"/>
    </sheetView>
  </sheetViews>
  <sheetFormatPr defaultRowHeight="15" x14ac:dyDescent="0.25"/>
  <cols>
    <col min="1" max="1" width="30.140625" bestFit="1" customWidth="1"/>
    <col min="2" max="2" width="10.42578125" bestFit="1" customWidth="1"/>
    <col min="4" max="4" width="7.85546875" bestFit="1" customWidth="1"/>
    <col min="5" max="5" width="18.5703125" bestFit="1" customWidth="1"/>
    <col min="6" max="6" width="15" bestFit="1" customWidth="1"/>
    <col min="7" max="7" width="9.5703125" bestFit="1" customWidth="1"/>
    <col min="8" max="8" width="7.85546875" bestFit="1" customWidth="1"/>
    <col min="9" max="9" width="18.5703125" bestFit="1" customWidth="1"/>
    <col min="10" max="10" width="15" bestFit="1" customWidth="1"/>
    <col min="12" max="12" width="7.85546875" bestFit="1" customWidth="1"/>
    <col min="18" max="18" width="7.85546875" bestFit="1" customWidth="1"/>
  </cols>
  <sheetData>
    <row r="1" spans="1:12" x14ac:dyDescent="0.25">
      <c r="A1" s="102" t="s">
        <v>223</v>
      </c>
      <c r="B1" s="102"/>
      <c r="C1" s="102"/>
      <c r="D1" s="102"/>
      <c r="E1" s="102"/>
      <c r="F1" s="102"/>
      <c r="G1" s="102"/>
      <c r="H1" s="102"/>
      <c r="I1" s="102"/>
      <c r="J1" s="103" t="s">
        <v>0</v>
      </c>
      <c r="K1" s="104"/>
    </row>
    <row r="2" spans="1:12" x14ac:dyDescent="0.25">
      <c r="A2" s="102"/>
      <c r="B2" s="102"/>
      <c r="C2" s="102"/>
      <c r="D2" s="102"/>
      <c r="E2" s="102"/>
      <c r="F2" s="102"/>
      <c r="G2" s="102"/>
      <c r="H2" s="102"/>
      <c r="I2" s="102"/>
      <c r="J2" s="105" t="s">
        <v>201</v>
      </c>
      <c r="K2" s="106"/>
    </row>
    <row r="3" spans="1:12" ht="15.75" thickBot="1" x14ac:dyDescent="0.3"/>
    <row r="4" spans="1:12" ht="15.75" thickTop="1" x14ac:dyDescent="0.25">
      <c r="A4" s="107" t="s">
        <v>1</v>
      </c>
      <c r="B4" s="109" t="s">
        <v>2</v>
      </c>
      <c r="C4" s="110"/>
      <c r="D4" s="1"/>
      <c r="E4" s="107" t="s">
        <v>1</v>
      </c>
      <c r="F4" s="111" t="s">
        <v>2</v>
      </c>
      <c r="G4" s="98" t="s">
        <v>3</v>
      </c>
      <c r="H4" s="1"/>
      <c r="I4" s="107" t="s">
        <v>1</v>
      </c>
      <c r="J4" s="111" t="s">
        <v>2</v>
      </c>
      <c r="K4" s="98" t="s">
        <v>3</v>
      </c>
    </row>
    <row r="5" spans="1:12" ht="15.75" thickBot="1" x14ac:dyDescent="0.3">
      <c r="A5" s="108"/>
      <c r="B5" s="81" t="s">
        <v>4</v>
      </c>
      <c r="C5" s="82" t="s">
        <v>5</v>
      </c>
      <c r="D5" s="1"/>
      <c r="E5" s="108"/>
      <c r="F5" s="112"/>
      <c r="G5" s="99"/>
      <c r="H5" s="1"/>
      <c r="I5" s="108"/>
      <c r="J5" s="112"/>
      <c r="K5" s="99"/>
    </row>
    <row r="6" spans="1:12" ht="16.5" thickTop="1" thickBot="1" x14ac:dyDescent="0.3">
      <c r="C6" s="32"/>
    </row>
    <row r="7" spans="1:12" ht="15.75" thickTop="1" x14ac:dyDescent="0.25">
      <c r="A7" s="20" t="s">
        <v>6</v>
      </c>
      <c r="B7" s="83">
        <v>34.898562999999996</v>
      </c>
      <c r="C7" s="10"/>
      <c r="D7" s="2">
        <v>132005</v>
      </c>
      <c r="E7" s="20" t="s">
        <v>7</v>
      </c>
      <c r="F7" s="54" t="s">
        <v>5</v>
      </c>
      <c r="G7" s="61">
        <v>19.740082000000001</v>
      </c>
      <c r="I7" s="15" t="s">
        <v>8</v>
      </c>
      <c r="J7" s="16" t="s">
        <v>9</v>
      </c>
      <c r="K7" s="17"/>
    </row>
    <row r="8" spans="1:12" x14ac:dyDescent="0.25">
      <c r="A8" s="55" t="s">
        <v>140</v>
      </c>
      <c r="B8" s="84"/>
      <c r="C8" s="85"/>
      <c r="E8" s="23" t="s">
        <v>11</v>
      </c>
      <c r="F8" s="62" t="s">
        <v>4</v>
      </c>
      <c r="G8" s="63">
        <v>33.496040000000001</v>
      </c>
      <c r="H8" s="2">
        <v>419090</v>
      </c>
      <c r="I8" s="15" t="s">
        <v>139</v>
      </c>
      <c r="J8" s="16" t="s">
        <v>9</v>
      </c>
      <c r="K8" s="17"/>
    </row>
    <row r="9" spans="1:12" ht="15.75" thickBot="1" x14ac:dyDescent="0.3">
      <c r="A9" s="23" t="s">
        <v>10</v>
      </c>
      <c r="B9" s="86">
        <v>47</v>
      </c>
      <c r="C9" s="12">
        <v>37.5</v>
      </c>
      <c r="D9" s="2">
        <v>132015</v>
      </c>
      <c r="E9" s="23" t="s">
        <v>13</v>
      </c>
      <c r="F9" s="62" t="s">
        <v>4</v>
      </c>
      <c r="G9" s="63">
        <v>52.050587999999998</v>
      </c>
      <c r="H9" s="2">
        <v>419100</v>
      </c>
      <c r="K9" s="29"/>
    </row>
    <row r="10" spans="1:12" ht="15.75" thickTop="1" x14ac:dyDescent="0.25">
      <c r="A10" s="23" t="s">
        <v>12</v>
      </c>
      <c r="B10" s="86">
        <v>72.5</v>
      </c>
      <c r="C10" s="12">
        <v>57.5</v>
      </c>
      <c r="D10" s="2">
        <v>132025</v>
      </c>
      <c r="E10" s="23" t="s">
        <v>15</v>
      </c>
      <c r="F10" s="62" t="s">
        <v>5</v>
      </c>
      <c r="G10" s="63">
        <v>84.087650999999994</v>
      </c>
      <c r="I10" s="3" t="s">
        <v>16</v>
      </c>
      <c r="J10" s="9" t="s">
        <v>4</v>
      </c>
      <c r="K10" s="10">
        <v>38.246129999999994</v>
      </c>
      <c r="L10" s="2">
        <v>129650</v>
      </c>
    </row>
    <row r="11" spans="1:12" ht="15.75" thickBot="1" x14ac:dyDescent="0.3">
      <c r="A11" s="26" t="s">
        <v>14</v>
      </c>
      <c r="B11" s="87">
        <v>120.150408</v>
      </c>
      <c r="C11" s="14"/>
      <c r="D11" s="2">
        <v>132035</v>
      </c>
      <c r="E11" s="23" t="s">
        <v>17</v>
      </c>
      <c r="F11" s="62" t="s">
        <v>5</v>
      </c>
      <c r="G11" s="63">
        <v>120.152736</v>
      </c>
      <c r="I11" s="5" t="s">
        <v>18</v>
      </c>
      <c r="J11" s="11" t="s">
        <v>4</v>
      </c>
      <c r="K11" s="12">
        <v>56.120805000000004</v>
      </c>
      <c r="L11" s="2">
        <v>129660</v>
      </c>
    </row>
    <row r="12" spans="1:12" ht="16.5" thickTop="1" thickBot="1" x14ac:dyDescent="0.3">
      <c r="B12" s="29"/>
      <c r="C12" s="29"/>
      <c r="E12" s="23" t="s">
        <v>20</v>
      </c>
      <c r="F12" s="62" t="s">
        <v>5</v>
      </c>
      <c r="G12" s="63">
        <v>26.608651999999999</v>
      </c>
      <c r="I12" s="15" t="s">
        <v>21</v>
      </c>
      <c r="J12" s="11" t="s">
        <v>4</v>
      </c>
      <c r="K12" s="17">
        <v>49</v>
      </c>
      <c r="L12" s="2">
        <v>129670</v>
      </c>
    </row>
    <row r="13" spans="1:12" ht="15.75" thickTop="1" x14ac:dyDescent="0.25">
      <c r="A13" s="20" t="s">
        <v>19</v>
      </c>
      <c r="B13" s="83">
        <v>44.820159499999995</v>
      </c>
      <c r="C13" s="10"/>
      <c r="E13" s="23" t="s">
        <v>23</v>
      </c>
      <c r="F13" s="62" t="s">
        <v>4</v>
      </c>
      <c r="G13" s="63">
        <v>45.92756</v>
      </c>
      <c r="H13" s="2">
        <v>419130</v>
      </c>
      <c r="I13" s="15" t="s">
        <v>24</v>
      </c>
      <c r="J13" s="11" t="s">
        <v>4</v>
      </c>
      <c r="K13" s="17">
        <v>76.5</v>
      </c>
      <c r="L13" s="2">
        <v>129680</v>
      </c>
    </row>
    <row r="14" spans="1:12" x14ac:dyDescent="0.25">
      <c r="A14" s="23" t="s">
        <v>22</v>
      </c>
      <c r="B14" s="86">
        <v>66.105500000000006</v>
      </c>
      <c r="C14" s="12"/>
      <c r="E14" s="23" t="s">
        <v>26</v>
      </c>
      <c r="F14" s="62" t="s">
        <v>4</v>
      </c>
      <c r="G14" s="63">
        <v>74.154317499999991</v>
      </c>
      <c r="H14" s="2">
        <v>419140</v>
      </c>
      <c r="I14" s="5" t="s">
        <v>27</v>
      </c>
      <c r="J14" s="11" t="s">
        <v>4</v>
      </c>
      <c r="K14" s="12">
        <v>126.39002999999998</v>
      </c>
    </row>
    <row r="15" spans="1:12" x14ac:dyDescent="0.25">
      <c r="A15" s="23" t="s">
        <v>25</v>
      </c>
      <c r="B15" s="86"/>
      <c r="C15" s="12"/>
      <c r="E15" s="23" t="s">
        <v>29</v>
      </c>
      <c r="F15" s="62" t="s">
        <v>4</v>
      </c>
      <c r="G15" s="63">
        <v>120.50120849999998</v>
      </c>
      <c r="H15" s="2">
        <v>419150</v>
      </c>
      <c r="I15" s="5" t="s">
        <v>30</v>
      </c>
      <c r="J15" s="11" t="s">
        <v>4</v>
      </c>
      <c r="K15" s="12">
        <v>184.32667499999999</v>
      </c>
    </row>
    <row r="16" spans="1:12" x14ac:dyDescent="0.25">
      <c r="A16" s="23" t="s">
        <v>28</v>
      </c>
      <c r="B16" s="86"/>
      <c r="C16" s="12"/>
      <c r="E16" s="23" t="s">
        <v>32</v>
      </c>
      <c r="F16" s="62" t="s">
        <v>4</v>
      </c>
      <c r="G16" s="63">
        <v>175.76346650000002</v>
      </c>
      <c r="H16" s="2">
        <v>419160</v>
      </c>
      <c r="I16" s="5" t="s">
        <v>33</v>
      </c>
      <c r="J16" s="11" t="s">
        <v>4</v>
      </c>
      <c r="K16" s="12">
        <v>66.56188499999999</v>
      </c>
    </row>
    <row r="17" spans="1:12" x14ac:dyDescent="0.25">
      <c r="A17" s="15" t="s">
        <v>31</v>
      </c>
      <c r="B17" s="88">
        <v>50.5</v>
      </c>
      <c r="C17" s="89"/>
      <c r="D17" s="2">
        <v>130491</v>
      </c>
      <c r="E17" s="23" t="s">
        <v>35</v>
      </c>
      <c r="F17" s="62" t="s">
        <v>5</v>
      </c>
      <c r="G17" s="63">
        <v>280.57832000000002</v>
      </c>
      <c r="I17" s="5" t="s">
        <v>36</v>
      </c>
      <c r="J17" s="11" t="s">
        <v>4</v>
      </c>
      <c r="K17" s="12">
        <v>87.010702350000003</v>
      </c>
    </row>
    <row r="18" spans="1:12" x14ac:dyDescent="0.25">
      <c r="A18" s="15" t="s">
        <v>34</v>
      </c>
      <c r="B18" s="88">
        <v>75</v>
      </c>
      <c r="C18" s="89"/>
      <c r="D18" s="2">
        <v>130492</v>
      </c>
      <c r="E18" s="23" t="s">
        <v>38</v>
      </c>
      <c r="F18" s="62" t="s">
        <v>5</v>
      </c>
      <c r="G18" s="63">
        <v>34.022943999999995</v>
      </c>
      <c r="I18" s="5" t="s">
        <v>39</v>
      </c>
      <c r="J18" s="11" t="s">
        <v>4</v>
      </c>
      <c r="K18" s="12">
        <v>140.73148</v>
      </c>
    </row>
    <row r="19" spans="1:12" x14ac:dyDescent="0.25">
      <c r="A19" s="23" t="s">
        <v>37</v>
      </c>
      <c r="B19" s="86">
        <v>134.35324499999999</v>
      </c>
      <c r="C19" s="12"/>
      <c r="E19" s="23" t="s">
        <v>41</v>
      </c>
      <c r="F19" s="62" t="s">
        <v>4</v>
      </c>
      <c r="G19" s="63">
        <v>60.725686000000003</v>
      </c>
      <c r="H19" s="2">
        <v>419180</v>
      </c>
      <c r="I19" s="5" t="s">
        <v>42</v>
      </c>
      <c r="J19" s="11" t="s">
        <v>4</v>
      </c>
      <c r="K19" s="12">
        <v>205.17197499999997</v>
      </c>
    </row>
    <row r="20" spans="1:12" x14ac:dyDescent="0.25">
      <c r="A20" s="23" t="s">
        <v>40</v>
      </c>
      <c r="B20" s="86">
        <v>193.40218899999996</v>
      </c>
      <c r="C20" s="12"/>
      <c r="E20" s="23" t="s">
        <v>44</v>
      </c>
      <c r="F20" s="62" t="s">
        <v>4</v>
      </c>
      <c r="G20" s="63">
        <v>99.081037999999992</v>
      </c>
      <c r="H20" s="2">
        <v>419190</v>
      </c>
      <c r="I20" s="5" t="s">
        <v>45</v>
      </c>
      <c r="J20" s="11" t="s">
        <v>4</v>
      </c>
      <c r="K20" s="12">
        <v>81.107519999999994</v>
      </c>
    </row>
    <row r="21" spans="1:12" x14ac:dyDescent="0.25">
      <c r="A21" s="23" t="s">
        <v>43</v>
      </c>
      <c r="B21" s="86">
        <v>300.7852145</v>
      </c>
      <c r="C21" s="12"/>
      <c r="E21" s="23" t="s">
        <v>47</v>
      </c>
      <c r="F21" s="62" t="s">
        <v>4</v>
      </c>
      <c r="G21" s="63">
        <v>160.23333</v>
      </c>
      <c r="H21" s="2">
        <v>419200</v>
      </c>
      <c r="I21" s="5" t="s">
        <v>48</v>
      </c>
      <c r="J21" s="11" t="s">
        <v>4</v>
      </c>
      <c r="K21" s="12">
        <v>126.25762499999999</v>
      </c>
    </row>
    <row r="22" spans="1:12" x14ac:dyDescent="0.25">
      <c r="A22" s="23" t="s">
        <v>46</v>
      </c>
      <c r="B22" s="86">
        <v>71.858085000000003</v>
      </c>
      <c r="C22" s="12"/>
      <c r="E22" s="23" t="s">
        <v>50</v>
      </c>
      <c r="F22" s="62" t="s">
        <v>4</v>
      </c>
      <c r="G22" s="63">
        <v>236.15988599999997</v>
      </c>
      <c r="H22" s="2">
        <v>419210</v>
      </c>
      <c r="I22" s="5" t="s">
        <v>51</v>
      </c>
      <c r="J22" s="11" t="s">
        <v>4</v>
      </c>
      <c r="K22" s="12">
        <v>195.335205</v>
      </c>
    </row>
    <row r="23" spans="1:12" ht="15.75" thickBot="1" x14ac:dyDescent="0.3">
      <c r="A23" s="23" t="s">
        <v>49</v>
      </c>
      <c r="B23" s="86">
        <v>116.82287149999999</v>
      </c>
      <c r="C23" s="12"/>
      <c r="E23" s="23" t="s">
        <v>53</v>
      </c>
      <c r="F23" s="62" t="s">
        <v>5</v>
      </c>
      <c r="G23" s="63">
        <v>384.165978</v>
      </c>
      <c r="I23" s="7" t="s">
        <v>54</v>
      </c>
      <c r="J23" s="13" t="s">
        <v>4</v>
      </c>
      <c r="K23" s="14">
        <v>283.54530749999998</v>
      </c>
    </row>
    <row r="24" spans="1:12" ht="16.5" thickTop="1" thickBot="1" x14ac:dyDescent="0.3">
      <c r="A24" s="23" t="s">
        <v>52</v>
      </c>
      <c r="B24" s="86">
        <v>178.62549999999999</v>
      </c>
      <c r="C24" s="12"/>
      <c r="E24" s="23" t="s">
        <v>56</v>
      </c>
      <c r="F24" s="62" t="s">
        <v>5</v>
      </c>
      <c r="G24" s="63">
        <v>624.06783300000006</v>
      </c>
      <c r="I24" s="30"/>
      <c r="J24" s="31"/>
      <c r="K24" s="32"/>
    </row>
    <row r="25" spans="1:12" ht="15.75" thickTop="1" x14ac:dyDescent="0.25">
      <c r="A25" s="23" t="s">
        <v>55</v>
      </c>
      <c r="B25" s="86">
        <v>255.91509999999997</v>
      </c>
      <c r="C25" s="12"/>
      <c r="E25" s="23" t="s">
        <v>58</v>
      </c>
      <c r="F25" s="62" t="s">
        <v>4</v>
      </c>
      <c r="G25" s="63">
        <v>42.140097999999995</v>
      </c>
      <c r="I25" s="20" t="s">
        <v>189</v>
      </c>
      <c r="J25" s="21" t="s">
        <v>59</v>
      </c>
      <c r="K25" s="22">
        <v>34.261932600000002</v>
      </c>
      <c r="L25" s="2">
        <v>316520</v>
      </c>
    </row>
    <row r="26" spans="1:12" x14ac:dyDescent="0.25">
      <c r="A26" s="23" t="s">
        <v>57</v>
      </c>
      <c r="B26" s="86">
        <v>395.71082100000001</v>
      </c>
      <c r="C26" s="12"/>
      <c r="E26" s="23" t="s">
        <v>61</v>
      </c>
      <c r="F26" s="62" t="s">
        <v>4</v>
      </c>
      <c r="G26" s="63">
        <v>78.346899999999991</v>
      </c>
      <c r="H26" s="2">
        <v>419240</v>
      </c>
      <c r="I26" s="23" t="s">
        <v>190</v>
      </c>
      <c r="J26" s="24" t="s">
        <v>59</v>
      </c>
      <c r="K26" s="25">
        <v>51.932418720000001</v>
      </c>
      <c r="L26" s="2">
        <v>316530</v>
      </c>
    </row>
    <row r="27" spans="1:12" x14ac:dyDescent="0.25">
      <c r="A27" s="23" t="s">
        <v>60</v>
      </c>
      <c r="B27" s="86">
        <v>605.04661799999985</v>
      </c>
      <c r="C27" s="12"/>
      <c r="E27" s="23" t="s">
        <v>63</v>
      </c>
      <c r="F27" s="62" t="s">
        <v>4</v>
      </c>
      <c r="G27" s="63">
        <v>124.68379999999999</v>
      </c>
      <c r="H27" s="2">
        <v>419250</v>
      </c>
      <c r="I27" s="23" t="s">
        <v>193</v>
      </c>
      <c r="J27" s="24" t="s">
        <v>59</v>
      </c>
      <c r="K27" s="25">
        <v>80.507477999999992</v>
      </c>
      <c r="L27" s="2">
        <v>316535</v>
      </c>
    </row>
    <row r="28" spans="1:12" x14ac:dyDescent="0.25">
      <c r="A28" s="23" t="s">
        <v>141</v>
      </c>
      <c r="B28" s="59"/>
      <c r="C28" s="12"/>
      <c r="E28" s="23" t="s">
        <v>65</v>
      </c>
      <c r="F28" s="62" t="s">
        <v>4</v>
      </c>
      <c r="G28" s="63">
        <v>199.87994599999999</v>
      </c>
      <c r="H28" s="2">
        <v>419260</v>
      </c>
      <c r="I28" s="23" t="s">
        <v>194</v>
      </c>
      <c r="J28" s="24" t="s">
        <v>59</v>
      </c>
      <c r="K28" s="25">
        <v>116.2263021</v>
      </c>
      <c r="L28" s="2">
        <v>316537</v>
      </c>
    </row>
    <row r="29" spans="1:12" x14ac:dyDescent="0.25">
      <c r="A29" s="23" t="s">
        <v>62</v>
      </c>
      <c r="B29" s="86">
        <v>91.104097499999995</v>
      </c>
      <c r="C29" s="12"/>
      <c r="E29" s="23" t="s">
        <v>67</v>
      </c>
      <c r="F29" s="62" t="s">
        <v>4</v>
      </c>
      <c r="G29" s="63">
        <v>290.78475700000001</v>
      </c>
      <c r="H29" s="2">
        <v>419270</v>
      </c>
      <c r="I29" s="23" t="s">
        <v>191</v>
      </c>
      <c r="J29" s="24" t="s">
        <v>59</v>
      </c>
      <c r="K29" s="12">
        <v>46</v>
      </c>
      <c r="L29" s="2">
        <v>316540</v>
      </c>
    </row>
    <row r="30" spans="1:12" x14ac:dyDescent="0.25">
      <c r="A30" s="23" t="s">
        <v>64</v>
      </c>
      <c r="B30" s="86">
        <v>135.88409899999999</v>
      </c>
      <c r="C30" s="12"/>
      <c r="E30" s="23" t="s">
        <v>69</v>
      </c>
      <c r="F30" s="62" t="s">
        <v>5</v>
      </c>
      <c r="G30" s="63">
        <v>479.80584399999998</v>
      </c>
      <c r="I30" s="23" t="s">
        <v>192</v>
      </c>
      <c r="J30" s="24" t="s">
        <v>59</v>
      </c>
      <c r="K30" s="12">
        <v>70</v>
      </c>
      <c r="L30" s="2">
        <v>316550</v>
      </c>
    </row>
    <row r="31" spans="1:12" ht="15.75" thickBot="1" x14ac:dyDescent="0.3">
      <c r="A31" s="23" t="s">
        <v>66</v>
      </c>
      <c r="B31" s="86">
        <v>213.40848749999998</v>
      </c>
      <c r="C31" s="12"/>
      <c r="E31" s="26" t="s">
        <v>71</v>
      </c>
      <c r="F31" s="58" t="s">
        <v>5</v>
      </c>
      <c r="G31" s="64">
        <v>741.37293999999986</v>
      </c>
      <c r="I31" s="23" t="s">
        <v>195</v>
      </c>
      <c r="J31" s="24" t="s">
        <v>59</v>
      </c>
      <c r="K31" s="25">
        <v>117.59058576</v>
      </c>
      <c r="L31" s="2">
        <v>451410</v>
      </c>
    </row>
    <row r="32" spans="1:12" ht="16.5" thickTop="1" thickBot="1" x14ac:dyDescent="0.3">
      <c r="A32" s="23" t="s">
        <v>68</v>
      </c>
      <c r="B32" s="86">
        <v>287.3093925</v>
      </c>
      <c r="C32" s="12"/>
      <c r="G32" s="32"/>
      <c r="I32" s="23" t="s">
        <v>196</v>
      </c>
      <c r="J32" s="24" t="s">
        <v>59</v>
      </c>
      <c r="K32" s="25">
        <v>171.25920360000001</v>
      </c>
      <c r="L32" s="2">
        <v>451420</v>
      </c>
    </row>
    <row r="33" spans="1:12" ht="15.75" thickTop="1" x14ac:dyDescent="0.25">
      <c r="A33" s="23" t="s">
        <v>70</v>
      </c>
      <c r="B33" s="86">
        <v>485.043747</v>
      </c>
      <c r="C33" s="12"/>
      <c r="E33" s="20" t="s">
        <v>74</v>
      </c>
      <c r="F33" s="21" t="s">
        <v>59</v>
      </c>
      <c r="G33" s="10">
        <v>12.365947999999998</v>
      </c>
      <c r="H33" s="2">
        <v>129721</v>
      </c>
      <c r="I33" s="23" t="s">
        <v>185</v>
      </c>
      <c r="J33" s="24" t="s">
        <v>59</v>
      </c>
      <c r="K33" s="25">
        <v>68.199342000000016</v>
      </c>
      <c r="L33" s="2">
        <v>451430</v>
      </c>
    </row>
    <row r="34" spans="1:12" ht="15.75" thickBot="1" x14ac:dyDescent="0.3">
      <c r="A34" s="23" t="s">
        <v>72</v>
      </c>
      <c r="B34" s="86">
        <v>744.79238399999997</v>
      </c>
      <c r="C34" s="12"/>
      <c r="E34" s="26" t="s">
        <v>76</v>
      </c>
      <c r="F34" s="27" t="s">
        <v>59</v>
      </c>
      <c r="G34" s="14">
        <v>16.589667500000001</v>
      </c>
      <c r="H34" s="2">
        <v>129722</v>
      </c>
      <c r="I34" s="23" t="s">
        <v>186</v>
      </c>
      <c r="J34" s="24" t="s">
        <v>59</v>
      </c>
      <c r="K34" s="25">
        <v>103.283466</v>
      </c>
      <c r="L34" s="2">
        <v>451440</v>
      </c>
    </row>
    <row r="35" spans="1:12" ht="16.5" thickTop="1" thickBot="1" x14ac:dyDescent="0.3">
      <c r="A35" s="23" t="s">
        <v>73</v>
      </c>
      <c r="B35" s="86">
        <v>1238.5347999999999</v>
      </c>
      <c r="C35" s="12"/>
      <c r="E35" s="65"/>
      <c r="F35" s="65"/>
      <c r="G35" s="66"/>
      <c r="I35" s="23" t="s">
        <v>197</v>
      </c>
      <c r="J35" s="24" t="s">
        <v>59</v>
      </c>
      <c r="K35" s="25">
        <v>159.70894799999996</v>
      </c>
      <c r="L35" s="2">
        <v>451450</v>
      </c>
    </row>
    <row r="36" spans="1:12" ht="15.75" thickTop="1" x14ac:dyDescent="0.25">
      <c r="A36" s="23" t="s">
        <v>75</v>
      </c>
      <c r="B36" s="86">
        <v>1682.8530000000001</v>
      </c>
      <c r="C36" s="12"/>
      <c r="E36" s="20" t="s">
        <v>77</v>
      </c>
      <c r="F36" s="54" t="s">
        <v>4</v>
      </c>
      <c r="G36" s="10">
        <v>163.79517000000001</v>
      </c>
      <c r="H36" s="2">
        <v>259662</v>
      </c>
      <c r="I36" s="23" t="s">
        <v>198</v>
      </c>
      <c r="J36" s="24" t="s">
        <v>59</v>
      </c>
      <c r="K36" s="25">
        <v>230.06518199999999</v>
      </c>
      <c r="L36" s="2">
        <v>451460</v>
      </c>
    </row>
    <row r="37" spans="1:12" x14ac:dyDescent="0.25">
      <c r="A37" s="23" t="s">
        <v>142</v>
      </c>
      <c r="B37" s="86"/>
      <c r="C37" s="12"/>
      <c r="E37" s="23" t="s">
        <v>183</v>
      </c>
      <c r="F37" s="62" t="s">
        <v>4</v>
      </c>
      <c r="G37" s="12">
        <v>246.99381600000001</v>
      </c>
      <c r="H37" s="2">
        <v>259664</v>
      </c>
      <c r="I37" s="23" t="s">
        <v>187</v>
      </c>
      <c r="J37" s="24" t="s">
        <v>59</v>
      </c>
      <c r="K37" s="25">
        <v>84.603594000000001</v>
      </c>
      <c r="L37" s="2">
        <v>451470</v>
      </c>
    </row>
    <row r="38" spans="1:12" ht="15.75" thickBot="1" x14ac:dyDescent="0.3">
      <c r="A38" s="26" t="s">
        <v>143</v>
      </c>
      <c r="B38" s="87"/>
      <c r="C38" s="14"/>
      <c r="E38" s="23" t="s">
        <v>78</v>
      </c>
      <c r="F38" s="62" t="s">
        <v>4</v>
      </c>
      <c r="G38" s="12">
        <v>341.33310600000004</v>
      </c>
      <c r="H38" s="2">
        <v>259668</v>
      </c>
      <c r="I38" s="23" t="s">
        <v>188</v>
      </c>
      <c r="J38" s="24" t="s">
        <v>59</v>
      </c>
      <c r="K38" s="25">
        <v>128.22623999999999</v>
      </c>
      <c r="L38" s="2">
        <v>451480</v>
      </c>
    </row>
    <row r="39" spans="1:12" ht="16.5" thickTop="1" thickBot="1" x14ac:dyDescent="0.3">
      <c r="B39" s="32"/>
      <c r="C39" s="32"/>
      <c r="E39" s="23" t="s">
        <v>79</v>
      </c>
      <c r="F39" s="62" t="s">
        <v>4</v>
      </c>
      <c r="G39" s="12">
        <v>41.535399999999996</v>
      </c>
      <c r="H39" s="2">
        <v>259670</v>
      </c>
      <c r="I39" s="23" t="s">
        <v>199</v>
      </c>
      <c r="J39" s="24" t="s">
        <v>59</v>
      </c>
      <c r="K39" s="25">
        <v>198.730884</v>
      </c>
      <c r="L39" s="2">
        <v>451490</v>
      </c>
    </row>
    <row r="40" spans="1:12" ht="16.5" thickTop="1" thickBot="1" x14ac:dyDescent="0.3">
      <c r="A40" s="20" t="s">
        <v>164</v>
      </c>
      <c r="B40" s="83">
        <v>51.193883999999997</v>
      </c>
      <c r="C40" s="10"/>
      <c r="E40" s="23" t="s">
        <v>80</v>
      </c>
      <c r="F40" s="62" t="s">
        <v>4</v>
      </c>
      <c r="G40" s="12">
        <v>60.450400000000002</v>
      </c>
      <c r="H40" s="2">
        <v>259680</v>
      </c>
      <c r="I40" s="26" t="s">
        <v>200</v>
      </c>
      <c r="J40" s="27" t="s">
        <v>59</v>
      </c>
      <c r="K40" s="28">
        <v>288.28147799999999</v>
      </c>
      <c r="L40" s="2">
        <v>451500</v>
      </c>
    </row>
    <row r="41" spans="1:12" ht="16.5" thickTop="1" thickBot="1" x14ac:dyDescent="0.3">
      <c r="A41" s="23" t="s">
        <v>165</v>
      </c>
      <c r="B41" s="86">
        <v>76.421159000000003</v>
      </c>
      <c r="C41" s="12"/>
      <c r="E41" s="23" t="s">
        <v>82</v>
      </c>
      <c r="F41" s="62" t="s">
        <v>4</v>
      </c>
      <c r="G41" s="12">
        <v>92.716673999999998</v>
      </c>
      <c r="H41" s="2">
        <v>259690</v>
      </c>
      <c r="K41" s="33"/>
    </row>
    <row r="42" spans="1:12" ht="15.75" thickTop="1" x14ac:dyDescent="0.25">
      <c r="A42" s="23"/>
      <c r="B42" s="86"/>
      <c r="C42" s="12"/>
      <c r="E42" s="23" t="s">
        <v>84</v>
      </c>
      <c r="F42" s="62" t="s">
        <v>4</v>
      </c>
      <c r="G42" s="63">
        <v>59.5871</v>
      </c>
      <c r="H42" s="2">
        <v>259700</v>
      </c>
      <c r="I42" s="34" t="s">
        <v>81</v>
      </c>
      <c r="J42" s="35" t="s">
        <v>5</v>
      </c>
      <c r="K42" s="36">
        <v>67.012158999999997</v>
      </c>
      <c r="L42" s="2" t="s">
        <v>208</v>
      </c>
    </row>
    <row r="43" spans="1:12" x14ac:dyDescent="0.25">
      <c r="A43" s="23" t="s">
        <v>151</v>
      </c>
      <c r="B43" s="86">
        <v>66.080765</v>
      </c>
      <c r="C43" s="63"/>
      <c r="E43" s="23" t="s">
        <v>86</v>
      </c>
      <c r="F43" s="62" t="s">
        <v>4</v>
      </c>
      <c r="G43" s="63">
        <v>82.353000000000009</v>
      </c>
      <c r="H43" s="2">
        <v>259710</v>
      </c>
      <c r="I43" s="37" t="s">
        <v>83</v>
      </c>
      <c r="J43" s="38" t="s">
        <v>5</v>
      </c>
      <c r="K43" s="39">
        <v>97.217861999999997</v>
      </c>
      <c r="L43" s="2" t="s">
        <v>209</v>
      </c>
    </row>
    <row r="44" spans="1:12" x14ac:dyDescent="0.25">
      <c r="A44" s="23"/>
      <c r="B44" s="86"/>
      <c r="C44" s="12"/>
      <c r="E44" s="23" t="s">
        <v>88</v>
      </c>
      <c r="F44" s="62" t="s">
        <v>4</v>
      </c>
      <c r="G44" s="12">
        <v>134.79585600000001</v>
      </c>
      <c r="H44" s="2">
        <v>259720</v>
      </c>
      <c r="I44" s="37" t="s">
        <v>85</v>
      </c>
      <c r="J44" s="38" t="s">
        <v>5</v>
      </c>
      <c r="K44" s="39">
        <v>148.4973</v>
      </c>
      <c r="L44" s="2" t="s">
        <v>210</v>
      </c>
    </row>
    <row r="45" spans="1:12" x14ac:dyDescent="0.25">
      <c r="A45" s="23" t="s">
        <v>152</v>
      </c>
      <c r="B45" s="86">
        <v>95.403185999999991</v>
      </c>
      <c r="C45" s="63"/>
      <c r="E45" s="23" t="s">
        <v>89</v>
      </c>
      <c r="F45" s="62" t="s">
        <v>4</v>
      </c>
      <c r="G45" s="12">
        <v>72.493337999999994</v>
      </c>
      <c r="H45" s="2">
        <v>259730</v>
      </c>
      <c r="I45" s="37" t="s">
        <v>87</v>
      </c>
      <c r="J45" s="38" t="s">
        <v>5</v>
      </c>
      <c r="K45" s="39">
        <v>213.367796</v>
      </c>
      <c r="L45" s="2" t="s">
        <v>211</v>
      </c>
    </row>
    <row r="46" spans="1:12" x14ac:dyDescent="0.25">
      <c r="A46" s="23"/>
      <c r="B46" s="86"/>
      <c r="C46" s="63"/>
      <c r="E46" s="23" t="s">
        <v>91</v>
      </c>
      <c r="F46" s="62" t="s">
        <v>4</v>
      </c>
      <c r="G46" s="12">
        <v>109.071456</v>
      </c>
      <c r="H46" s="2">
        <v>259740</v>
      </c>
      <c r="I46" s="37" t="s">
        <v>144</v>
      </c>
      <c r="J46" s="38" t="s">
        <v>5</v>
      </c>
      <c r="K46" s="39">
        <v>323.81509999999997</v>
      </c>
      <c r="L46" s="2" t="s">
        <v>212</v>
      </c>
    </row>
    <row r="47" spans="1:12" x14ac:dyDescent="0.25">
      <c r="A47" s="23" t="s">
        <v>166</v>
      </c>
      <c r="B47" s="86">
        <v>147.627016</v>
      </c>
      <c r="C47" s="12"/>
      <c r="E47" s="23" t="s">
        <v>93</v>
      </c>
      <c r="F47" s="62" t="s">
        <v>4</v>
      </c>
      <c r="G47" s="12">
        <v>172.808604</v>
      </c>
      <c r="H47" s="2">
        <v>259750</v>
      </c>
      <c r="I47" s="37"/>
      <c r="J47" s="38"/>
      <c r="K47" s="39"/>
    </row>
    <row r="48" spans="1:12" x14ac:dyDescent="0.25">
      <c r="A48" s="23" t="s">
        <v>167</v>
      </c>
      <c r="B48" s="86">
        <v>207.30325900000003</v>
      </c>
      <c r="C48" s="12"/>
      <c r="E48" s="23" t="s">
        <v>95</v>
      </c>
      <c r="F48" s="62" t="s">
        <v>4</v>
      </c>
      <c r="G48" s="12">
        <v>250.58533799999998</v>
      </c>
      <c r="H48" s="2">
        <v>259760</v>
      </c>
      <c r="I48" s="37" t="s">
        <v>90</v>
      </c>
      <c r="J48" s="38" t="s">
        <v>5</v>
      </c>
      <c r="K48" s="39">
        <v>190.47890000000001</v>
      </c>
      <c r="L48" s="2" t="s">
        <v>213</v>
      </c>
    </row>
    <row r="49" spans="1:12" x14ac:dyDescent="0.25">
      <c r="A49" s="23" t="s">
        <v>168</v>
      </c>
      <c r="B49" s="86">
        <v>335.53774399999998</v>
      </c>
      <c r="C49" s="12"/>
      <c r="E49" s="23" t="s">
        <v>97</v>
      </c>
      <c r="F49" s="62" t="s">
        <v>4</v>
      </c>
      <c r="G49" s="12">
        <v>420.21369999999996</v>
      </c>
      <c r="H49" s="2">
        <v>259764</v>
      </c>
      <c r="I49" s="37" t="s">
        <v>92</v>
      </c>
      <c r="J49" s="38" t="s">
        <v>5</v>
      </c>
      <c r="K49" s="39">
        <v>255.63535200000001</v>
      </c>
      <c r="L49" s="2" t="s">
        <v>214</v>
      </c>
    </row>
    <row r="50" spans="1:12" x14ac:dyDescent="0.25">
      <c r="A50" s="23" t="s">
        <v>169</v>
      </c>
      <c r="B50" s="86">
        <v>84.603788000000009</v>
      </c>
      <c r="C50" s="12"/>
      <c r="E50" s="23" t="s">
        <v>98</v>
      </c>
      <c r="F50" s="62" t="s">
        <v>4</v>
      </c>
      <c r="G50" s="12">
        <v>628.90919999999994</v>
      </c>
      <c r="H50" s="2">
        <v>259766</v>
      </c>
      <c r="I50" s="37" t="s">
        <v>94</v>
      </c>
      <c r="J50" s="38" t="s">
        <v>5</v>
      </c>
      <c r="K50" s="39">
        <v>392.68994999999995</v>
      </c>
      <c r="L50" s="2" t="s">
        <v>215</v>
      </c>
    </row>
    <row r="51" spans="1:12" x14ac:dyDescent="0.25">
      <c r="A51" s="23" t="s">
        <v>170</v>
      </c>
      <c r="B51" s="86">
        <v>126.36616800000002</v>
      </c>
      <c r="C51" s="12"/>
      <c r="E51" s="23" t="s">
        <v>100</v>
      </c>
      <c r="F51" s="62" t="s">
        <v>4</v>
      </c>
      <c r="G51" s="12">
        <v>88.907483999999997</v>
      </c>
      <c r="H51" s="2">
        <v>259770</v>
      </c>
      <c r="I51" s="37" t="s">
        <v>96</v>
      </c>
      <c r="J51" s="38" t="s">
        <v>5</v>
      </c>
      <c r="K51" s="39">
        <v>600.02260000000001</v>
      </c>
      <c r="L51" s="2" t="s">
        <v>216</v>
      </c>
    </row>
    <row r="52" spans="1:12" x14ac:dyDescent="0.25">
      <c r="A52" s="23" t="s">
        <v>171</v>
      </c>
      <c r="B52" s="86">
        <v>200.11973000000003</v>
      </c>
      <c r="C52" s="12"/>
      <c r="E52" s="23" t="s">
        <v>102</v>
      </c>
      <c r="F52" s="62" t="s">
        <v>4</v>
      </c>
      <c r="G52" s="12">
        <v>135.74567999999999</v>
      </c>
      <c r="H52" s="2">
        <v>259780</v>
      </c>
      <c r="I52" s="37"/>
      <c r="J52" s="38"/>
      <c r="K52" s="39"/>
    </row>
    <row r="53" spans="1:12" x14ac:dyDescent="0.25">
      <c r="A53" s="23" t="s">
        <v>172</v>
      </c>
      <c r="B53" s="86">
        <v>268.75790000000001</v>
      </c>
      <c r="C53" s="12"/>
      <c r="E53" s="23" t="s">
        <v>104</v>
      </c>
      <c r="F53" s="62" t="s">
        <v>4</v>
      </c>
      <c r="G53" s="12">
        <v>213.41357999999997</v>
      </c>
      <c r="H53" s="2">
        <v>259790</v>
      </c>
      <c r="I53" s="37" t="s">
        <v>99</v>
      </c>
      <c r="J53" s="38" t="s">
        <v>5</v>
      </c>
      <c r="K53" s="39">
        <v>98.7363</v>
      </c>
      <c r="L53" s="2" t="s">
        <v>217</v>
      </c>
    </row>
    <row r="54" spans="1:12" x14ac:dyDescent="0.25">
      <c r="A54" s="23" t="s">
        <v>173</v>
      </c>
      <c r="B54" s="86">
        <v>437.34603400000003</v>
      </c>
      <c r="C54" s="12"/>
      <c r="E54" s="23" t="s">
        <v>106</v>
      </c>
      <c r="F54" s="62" t="s">
        <v>4</v>
      </c>
      <c r="G54" s="12">
        <v>309.38538</v>
      </c>
      <c r="H54" s="2">
        <v>259800</v>
      </c>
      <c r="I54" s="37" t="s">
        <v>101</v>
      </c>
      <c r="J54" s="38" t="s">
        <v>5</v>
      </c>
      <c r="K54" s="39">
        <v>156.608925</v>
      </c>
      <c r="L54" s="2" t="s">
        <v>218</v>
      </c>
    </row>
    <row r="55" spans="1:12" x14ac:dyDescent="0.25">
      <c r="A55" s="23" t="s">
        <v>174</v>
      </c>
      <c r="B55" s="86">
        <v>101.46859600000001</v>
      </c>
      <c r="C55" s="12"/>
      <c r="E55" s="23" t="s">
        <v>108</v>
      </c>
      <c r="F55" s="62" t="s">
        <v>4</v>
      </c>
      <c r="G55" s="12">
        <v>518.54259999999999</v>
      </c>
      <c r="H55" s="2">
        <v>259810</v>
      </c>
      <c r="I55" s="37" t="s">
        <v>103</v>
      </c>
      <c r="J55" s="38" t="s">
        <v>5</v>
      </c>
      <c r="K55" s="39">
        <v>228.06795199999996</v>
      </c>
      <c r="L55" s="2" t="s">
        <v>219</v>
      </c>
    </row>
    <row r="56" spans="1:12" ht="15.75" thickBot="1" x14ac:dyDescent="0.3">
      <c r="A56" s="23" t="s">
        <v>175</v>
      </c>
      <c r="B56" s="86">
        <v>153.46176</v>
      </c>
      <c r="C56" s="12"/>
      <c r="E56" s="26"/>
      <c r="F56" s="58"/>
      <c r="G56" s="14"/>
      <c r="I56" s="37" t="s">
        <v>105</v>
      </c>
      <c r="J56" s="38" t="s">
        <v>5</v>
      </c>
      <c r="K56" s="39">
        <v>316.61634199999997</v>
      </c>
      <c r="L56" s="2" t="s">
        <v>220</v>
      </c>
    </row>
    <row r="57" spans="1:12" ht="15.75" thickTop="1" x14ac:dyDescent="0.25">
      <c r="A57" s="23" t="s">
        <v>176</v>
      </c>
      <c r="B57" s="86">
        <v>231.91109200000002</v>
      </c>
      <c r="C57" s="12"/>
      <c r="E57" s="59"/>
      <c r="F57" s="59"/>
      <c r="G57" s="67"/>
      <c r="I57" s="37" t="s">
        <v>107</v>
      </c>
      <c r="J57" s="38" t="s">
        <v>5</v>
      </c>
      <c r="K57" s="39">
        <v>501.2475</v>
      </c>
      <c r="L57" s="2" t="s">
        <v>221</v>
      </c>
    </row>
    <row r="58" spans="1:12" ht="15.75" thickBot="1" x14ac:dyDescent="0.3">
      <c r="A58" s="23" t="s">
        <v>177</v>
      </c>
      <c r="B58" s="86">
        <v>329.48319799999996</v>
      </c>
      <c r="C58" s="12"/>
      <c r="F58" s="68" t="s">
        <v>111</v>
      </c>
      <c r="G58" s="69"/>
      <c r="I58" s="40" t="s">
        <v>109</v>
      </c>
      <c r="J58" s="41" t="s">
        <v>5</v>
      </c>
      <c r="K58" s="42">
        <v>780.28739999999993</v>
      </c>
      <c r="L58" s="2" t="s">
        <v>222</v>
      </c>
    </row>
    <row r="59" spans="1:12" ht="16.5" thickTop="1" thickBot="1" x14ac:dyDescent="0.3">
      <c r="A59" s="23" t="s">
        <v>178</v>
      </c>
      <c r="B59" s="86">
        <v>537.55576399999995</v>
      </c>
      <c r="C59" s="12"/>
      <c r="E59" s="100" t="s">
        <v>153</v>
      </c>
      <c r="F59" s="101"/>
      <c r="G59" s="10">
        <v>61.026044560000003</v>
      </c>
      <c r="J59" s="43"/>
      <c r="K59" s="33"/>
    </row>
    <row r="60" spans="1:12" ht="16.5" thickTop="1" thickBot="1" x14ac:dyDescent="0.3">
      <c r="A60" s="23" t="s">
        <v>179</v>
      </c>
      <c r="B60" s="86">
        <v>818.09305300000005</v>
      </c>
      <c r="C60" s="12"/>
      <c r="E60" s="94" t="s">
        <v>154</v>
      </c>
      <c r="F60" s="95"/>
      <c r="G60" s="12">
        <v>83.976101</v>
      </c>
      <c r="I60" s="44" t="s">
        <v>138</v>
      </c>
      <c r="J60" s="45" t="s">
        <v>5</v>
      </c>
      <c r="K60" s="46">
        <v>152.77500000000001</v>
      </c>
    </row>
    <row r="61" spans="1:12" ht="16.5" thickTop="1" thickBot="1" x14ac:dyDescent="0.3">
      <c r="A61" s="23" t="s">
        <v>180</v>
      </c>
      <c r="B61" s="86">
        <v>1337.39526</v>
      </c>
      <c r="C61" s="12"/>
      <c r="E61" s="23" t="s">
        <v>155</v>
      </c>
      <c r="F61" s="62"/>
      <c r="G61" s="12">
        <v>78.359413000000004</v>
      </c>
      <c r="K61" s="47"/>
    </row>
    <row r="62" spans="1:12" ht="15.75" thickTop="1" x14ac:dyDescent="0.25">
      <c r="A62" s="23" t="s">
        <v>181</v>
      </c>
      <c r="B62" s="86">
        <v>1809.7197849999998</v>
      </c>
      <c r="C62" s="12"/>
      <c r="E62" s="23" t="s">
        <v>156</v>
      </c>
      <c r="F62" s="62"/>
      <c r="G62" s="12">
        <v>109.901</v>
      </c>
      <c r="I62" s="20" t="s">
        <v>110</v>
      </c>
      <c r="J62" s="48" t="s">
        <v>5</v>
      </c>
      <c r="K62" s="22">
        <v>37.365272999999995</v>
      </c>
    </row>
    <row r="63" spans="1:12" x14ac:dyDescent="0.25">
      <c r="A63" s="90" t="s">
        <v>182</v>
      </c>
      <c r="B63" s="91">
        <v>2456.5471160000002</v>
      </c>
      <c r="C63" s="92"/>
      <c r="E63" s="94" t="s">
        <v>157</v>
      </c>
      <c r="F63" s="95"/>
      <c r="G63" s="12">
        <v>163.73599999999999</v>
      </c>
      <c r="I63" s="23" t="s">
        <v>112</v>
      </c>
      <c r="J63" s="49" t="s">
        <v>5</v>
      </c>
      <c r="K63" s="25">
        <v>72.49304699999999</v>
      </c>
    </row>
    <row r="64" spans="1:12" ht="15.75" thickBot="1" x14ac:dyDescent="0.3">
      <c r="A64" s="26" t="s">
        <v>184</v>
      </c>
      <c r="B64" s="87">
        <v>3638.4324609999999</v>
      </c>
      <c r="C64" s="14"/>
      <c r="E64" s="94" t="s">
        <v>158</v>
      </c>
      <c r="F64" s="95"/>
      <c r="G64" s="12">
        <v>121.99355349999998</v>
      </c>
      <c r="I64" s="26" t="s">
        <v>113</v>
      </c>
      <c r="J64" s="50" t="s">
        <v>5</v>
      </c>
      <c r="K64" s="28"/>
    </row>
    <row r="65" spans="1:13" ht="16.5" thickTop="1" thickBot="1" x14ac:dyDescent="0.3">
      <c r="B65" s="29"/>
      <c r="C65" s="29"/>
      <c r="E65" s="94" t="s">
        <v>159</v>
      </c>
      <c r="F65" s="95"/>
      <c r="G65" s="12">
        <v>173.56016</v>
      </c>
      <c r="K65" s="47"/>
    </row>
    <row r="66" spans="1:13" ht="15.75" thickTop="1" x14ac:dyDescent="0.25">
      <c r="A66" s="20" t="s">
        <v>114</v>
      </c>
      <c r="B66" s="83"/>
      <c r="C66" s="10"/>
      <c r="E66" s="94" t="s">
        <v>160</v>
      </c>
      <c r="F66" s="95"/>
      <c r="G66" s="12">
        <v>257.04505299999994</v>
      </c>
      <c r="I66" s="20" t="s">
        <v>115</v>
      </c>
      <c r="J66" s="48" t="s">
        <v>5</v>
      </c>
      <c r="K66" s="51">
        <v>39.326321999999998</v>
      </c>
      <c r="L66" s="2">
        <v>451330</v>
      </c>
    </row>
    <row r="67" spans="1:13" x14ac:dyDescent="0.25">
      <c r="A67" s="23" t="s">
        <v>116</v>
      </c>
      <c r="B67" s="86"/>
      <c r="C67" s="12"/>
      <c r="E67" s="94" t="s">
        <v>161</v>
      </c>
      <c r="F67" s="95"/>
      <c r="G67" s="12">
        <v>364.36376749999999</v>
      </c>
      <c r="I67" s="23" t="s">
        <v>117</v>
      </c>
      <c r="J67" s="49" t="s">
        <v>5</v>
      </c>
      <c r="K67" s="52">
        <v>52.1569</v>
      </c>
      <c r="L67" s="2">
        <v>451340</v>
      </c>
    </row>
    <row r="68" spans="1:13" x14ac:dyDescent="0.25">
      <c r="A68" s="23" t="s">
        <v>118</v>
      </c>
      <c r="B68" s="86">
        <v>67.958200000000005</v>
      </c>
      <c r="C68" s="12"/>
      <c r="E68" s="94" t="s">
        <v>162</v>
      </c>
      <c r="F68" s="95"/>
      <c r="G68" s="12">
        <v>584.76265699999988</v>
      </c>
      <c r="I68" s="23" t="s">
        <v>119</v>
      </c>
      <c r="J68" s="49" t="s">
        <v>5</v>
      </c>
      <c r="K68" s="52">
        <v>76.746400000000008</v>
      </c>
      <c r="L68" s="2">
        <v>451350</v>
      </c>
    </row>
    <row r="69" spans="1:13" ht="15.75" thickBot="1" x14ac:dyDescent="0.3">
      <c r="A69" s="23" t="s">
        <v>121</v>
      </c>
      <c r="B69" s="86">
        <v>97.184299999999993</v>
      </c>
      <c r="C69" s="12"/>
      <c r="E69" s="96" t="s">
        <v>163</v>
      </c>
      <c r="F69" s="97"/>
      <c r="G69" s="14">
        <v>878.56644199999994</v>
      </c>
      <c r="I69" s="26" t="s">
        <v>120</v>
      </c>
      <c r="J69" s="50" t="s">
        <v>5</v>
      </c>
      <c r="K69" s="53">
        <v>103.40199999999999</v>
      </c>
      <c r="L69" s="2">
        <v>451360</v>
      </c>
    </row>
    <row r="70" spans="1:13" ht="16.5" thickTop="1" thickBot="1" x14ac:dyDescent="0.3">
      <c r="A70" s="23" t="s">
        <v>123</v>
      </c>
      <c r="B70" s="86"/>
      <c r="C70" s="12"/>
      <c r="E70" s="70"/>
      <c r="F70" s="32"/>
      <c r="G70" s="32"/>
      <c r="K70" s="47"/>
    </row>
    <row r="71" spans="1:13" ht="16.5" thickTop="1" thickBot="1" x14ac:dyDescent="0.3">
      <c r="A71" s="23" t="s">
        <v>125</v>
      </c>
      <c r="B71" s="86"/>
      <c r="C71" s="12"/>
      <c r="E71" s="71" t="s">
        <v>136</v>
      </c>
      <c r="F71" s="72" t="s">
        <v>137</v>
      </c>
      <c r="G71" s="73">
        <v>61.001101009999999</v>
      </c>
      <c r="I71" s="20" t="s">
        <v>150</v>
      </c>
      <c r="J71" s="54" t="s">
        <v>5</v>
      </c>
      <c r="K71" s="22">
        <v>23.182999999999996</v>
      </c>
    </row>
    <row r="72" spans="1:13" ht="15.75" thickTop="1" x14ac:dyDescent="0.25">
      <c r="A72" s="23" t="s">
        <v>127</v>
      </c>
      <c r="B72" s="86"/>
      <c r="C72" s="12"/>
      <c r="E72" s="74"/>
      <c r="F72" s="75"/>
      <c r="G72" s="76"/>
      <c r="I72" s="55" t="s">
        <v>122</v>
      </c>
      <c r="J72" s="56" t="s">
        <v>5</v>
      </c>
      <c r="K72" s="57">
        <v>36.724199999999996</v>
      </c>
      <c r="L72" s="18" t="s">
        <v>203</v>
      </c>
    </row>
    <row r="73" spans="1:13" ht="15.75" thickBot="1" x14ac:dyDescent="0.3">
      <c r="A73" s="23" t="s">
        <v>129</v>
      </c>
      <c r="B73" s="86"/>
      <c r="C73" s="12"/>
      <c r="F73" s="77" t="s">
        <v>149</v>
      </c>
      <c r="G73" s="69"/>
      <c r="I73" s="23" t="s">
        <v>124</v>
      </c>
      <c r="J73" s="56" t="s">
        <v>5</v>
      </c>
      <c r="K73" s="25">
        <v>54.766199999999998</v>
      </c>
      <c r="L73" s="18" t="s">
        <v>204</v>
      </c>
    </row>
    <row r="74" spans="1:13" ht="15.75" thickTop="1" x14ac:dyDescent="0.25">
      <c r="A74" s="23" t="s">
        <v>131</v>
      </c>
      <c r="B74" s="86"/>
      <c r="C74" s="12"/>
      <c r="E74" s="20" t="s">
        <v>145</v>
      </c>
      <c r="F74" s="78" t="s">
        <v>5</v>
      </c>
      <c r="G74" s="4">
        <v>30</v>
      </c>
      <c r="H74" s="2">
        <v>525740</v>
      </c>
      <c r="I74" s="23" t="s">
        <v>126</v>
      </c>
      <c r="J74" s="56" t="s">
        <v>5</v>
      </c>
      <c r="K74" s="25">
        <v>93.866899999999987</v>
      </c>
      <c r="L74" s="18" t="s">
        <v>205</v>
      </c>
    </row>
    <row r="75" spans="1:13" x14ac:dyDescent="0.25">
      <c r="A75" s="23" t="s">
        <v>133</v>
      </c>
      <c r="B75" s="86"/>
      <c r="C75" s="12"/>
      <c r="E75" s="23" t="s">
        <v>146</v>
      </c>
      <c r="F75" s="79" t="s">
        <v>5</v>
      </c>
      <c r="G75" s="6">
        <v>46</v>
      </c>
      <c r="H75" s="2">
        <v>525745</v>
      </c>
      <c r="I75" s="23" t="s">
        <v>128</v>
      </c>
      <c r="J75" s="56" t="s">
        <v>5</v>
      </c>
      <c r="K75" s="25">
        <v>143.7928</v>
      </c>
      <c r="L75" s="18" t="s">
        <v>206</v>
      </c>
    </row>
    <row r="76" spans="1:13" x14ac:dyDescent="0.25">
      <c r="A76" s="23" t="s">
        <v>134</v>
      </c>
      <c r="B76" s="86"/>
      <c r="C76" s="12"/>
      <c r="E76" s="23" t="s">
        <v>147</v>
      </c>
      <c r="F76" s="79" t="s">
        <v>5</v>
      </c>
      <c r="G76" s="6">
        <v>43.5</v>
      </c>
      <c r="H76" s="2">
        <v>525750</v>
      </c>
      <c r="I76" s="23" t="s">
        <v>130</v>
      </c>
      <c r="J76" s="56" t="s">
        <v>5</v>
      </c>
      <c r="K76" s="25">
        <v>169.53659999999999</v>
      </c>
      <c r="L76" s="18" t="s">
        <v>207</v>
      </c>
    </row>
    <row r="77" spans="1:13" ht="15.75" thickBot="1" x14ac:dyDescent="0.3">
      <c r="A77" s="26" t="s">
        <v>135</v>
      </c>
      <c r="B77" s="87"/>
      <c r="C77" s="14"/>
      <c r="E77" s="26" t="s">
        <v>148</v>
      </c>
      <c r="F77" s="80" t="s">
        <v>5</v>
      </c>
      <c r="G77" s="8">
        <v>68.5</v>
      </c>
      <c r="H77" s="2">
        <v>525755</v>
      </c>
      <c r="I77" s="26" t="s">
        <v>132</v>
      </c>
      <c r="J77" s="58" t="s">
        <v>5</v>
      </c>
      <c r="K77" s="28">
        <v>236.6412</v>
      </c>
      <c r="L77" s="18" t="s">
        <v>202</v>
      </c>
      <c r="M77" s="19"/>
    </row>
    <row r="78" spans="1:13" ht="15.75" thickTop="1" x14ac:dyDescent="0.25">
      <c r="I78" s="59"/>
      <c r="J78" s="59"/>
      <c r="K78" s="60"/>
    </row>
  </sheetData>
  <mergeCells count="20">
    <mergeCell ref="A1:I2"/>
    <mergeCell ref="J1:K1"/>
    <mergeCell ref="J2:K2"/>
    <mergeCell ref="A4:A5"/>
    <mergeCell ref="B4:C4"/>
    <mergeCell ref="E4:E5"/>
    <mergeCell ref="F4:F5"/>
    <mergeCell ref="G4:G5"/>
    <mergeCell ref="I4:I5"/>
    <mergeCell ref="J4:J5"/>
    <mergeCell ref="E66:F66"/>
    <mergeCell ref="E67:F67"/>
    <mergeCell ref="E68:F68"/>
    <mergeCell ref="E69:F69"/>
    <mergeCell ref="K4:K5"/>
    <mergeCell ref="E59:F59"/>
    <mergeCell ref="E60:F60"/>
    <mergeCell ref="E63:F63"/>
    <mergeCell ref="E64:F64"/>
    <mergeCell ref="E65:F65"/>
  </mergeCells>
  <printOptions horizontalCentered="1" verticalCentered="1"/>
  <pageMargins left="0" right="0" top="0" bottom="0" header="0" footer="0"/>
  <pageSetup paperSize="9" scale="5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71890-099D-4A69-91D3-ACCCB1FE6D9B}">
  <sheetPr codeName="Лист6"/>
  <dimension ref="A1:B112"/>
  <sheetViews>
    <sheetView workbookViewId="0">
      <selection activeCell="C18" sqref="C18"/>
    </sheetView>
  </sheetViews>
  <sheetFormatPr defaultRowHeight="15" x14ac:dyDescent="0.25"/>
  <cols>
    <col min="1" max="1" width="35.140625" bestFit="1" customWidth="1"/>
  </cols>
  <sheetData>
    <row r="1" spans="1:2" x14ac:dyDescent="0.25">
      <c r="A1" s="19" t="str">
        <f>'original-n'!A7&amp;"."</f>
        <v>ВВГ-Пнг(А)-LS 2х1,5(N, PE) - 0,66.</v>
      </c>
      <c r="B1" s="93">
        <v>132005</v>
      </c>
    </row>
    <row r="2" spans="1:2" x14ac:dyDescent="0.25">
      <c r="A2" s="19" t="str">
        <f>'original-n'!A9&amp;"."</f>
        <v>ВВГ-Пнг(А)-LS 3х1,5(N, PE) - 0,66.</v>
      </c>
      <c r="B2" s="93">
        <v>132015</v>
      </c>
    </row>
    <row r="3" spans="1:2" x14ac:dyDescent="0.25">
      <c r="A3" s="19" t="str">
        <f>'original-n'!A10&amp;"."</f>
        <v>ВВГ-Пнг(А)-LS 3х2,5(N, PE) - 0,66.</v>
      </c>
      <c r="B3" s="93">
        <v>132025</v>
      </c>
    </row>
    <row r="4" spans="1:2" x14ac:dyDescent="0.25">
      <c r="A4" s="19" t="str">
        <f>'original-n'!A11&amp;"."</f>
        <v>ВВГ-Пнг(А)-LS 3х4(N, PE) - 0,66.</v>
      </c>
      <c r="B4" s="93">
        <v>132035</v>
      </c>
    </row>
    <row r="5" spans="1:2" x14ac:dyDescent="0.25">
      <c r="A5" s="19" t="str">
        <f>'original-n'!A17&amp;"."</f>
        <v>ВВГнг(A)-LS 3х1,5(N, PE) - 0,66.</v>
      </c>
      <c r="B5" s="93">
        <v>130491</v>
      </c>
    </row>
    <row r="6" spans="1:2" x14ac:dyDescent="0.25">
      <c r="A6" s="19" t="str">
        <f>'original-n'!A18&amp;"."</f>
        <v>ВВГнг(A)-LS 3х2,5(N, PE) - 0,66.</v>
      </c>
      <c r="B6" s="93">
        <v>130492</v>
      </c>
    </row>
    <row r="7" spans="1:2" x14ac:dyDescent="0.25">
      <c r="A7" s="19" t="str">
        <f>'original-n'!E8&amp;"."&amp;'original-n'!F8</f>
        <v>ПВС 2х1,5.Конкорд</v>
      </c>
      <c r="B7" s="93">
        <v>419090</v>
      </c>
    </row>
    <row r="8" spans="1:2" x14ac:dyDescent="0.25">
      <c r="A8" s="19" t="str">
        <f>'original-n'!E9&amp;"."&amp;'original-n'!F9</f>
        <v>ПВС 2х2,5.Конкорд</v>
      </c>
      <c r="B8" s="93">
        <v>419100</v>
      </c>
    </row>
    <row r="9" spans="1:2" x14ac:dyDescent="0.25">
      <c r="A9" s="19" t="str">
        <f>'original-n'!E13&amp;"."&amp;'original-n'!F13</f>
        <v>ПВС 3х1,5.Конкорд</v>
      </c>
      <c r="B9" s="93">
        <v>419130</v>
      </c>
    </row>
    <row r="10" spans="1:2" x14ac:dyDescent="0.25">
      <c r="A10" s="19" t="str">
        <f>'original-n'!E14&amp;"."&amp;'original-n'!F14</f>
        <v>ПВС 3х2,5.Конкорд</v>
      </c>
      <c r="B10" s="93">
        <v>419140</v>
      </c>
    </row>
    <row r="11" spans="1:2" x14ac:dyDescent="0.25">
      <c r="A11" s="19" t="str">
        <f>'original-n'!E15&amp;"."&amp;'original-n'!F15</f>
        <v>ПВС 3х4.Конкорд</v>
      </c>
      <c r="B11" s="93">
        <v>419150</v>
      </c>
    </row>
    <row r="12" spans="1:2" x14ac:dyDescent="0.25">
      <c r="A12" s="19" t="str">
        <f>'original-n'!E16&amp;"."&amp;'original-n'!F16</f>
        <v>ПВС 3х6.Конкорд</v>
      </c>
      <c r="B12" s="93">
        <v>419160</v>
      </c>
    </row>
    <row r="13" spans="1:2" x14ac:dyDescent="0.25">
      <c r="A13" s="19" t="str">
        <f>'original-n'!E19&amp;"."&amp;'original-n'!F19</f>
        <v>ПВС 4х1,5.Конкорд</v>
      </c>
      <c r="B13" s="93">
        <v>419180</v>
      </c>
    </row>
    <row r="14" spans="1:2" x14ac:dyDescent="0.25">
      <c r="A14" s="19" t="str">
        <f>'original-n'!E20&amp;"."&amp;'original-n'!F20</f>
        <v>ПВС 4х2,5.Конкорд</v>
      </c>
      <c r="B14" s="93">
        <v>419190</v>
      </c>
    </row>
    <row r="15" spans="1:2" x14ac:dyDescent="0.25">
      <c r="A15" s="19" t="str">
        <f>'original-n'!E21&amp;"."&amp;'original-n'!F21</f>
        <v>ПВС 4х4.Конкорд</v>
      </c>
      <c r="B15" s="93">
        <v>419200</v>
      </c>
    </row>
    <row r="16" spans="1:2" x14ac:dyDescent="0.25">
      <c r="A16" s="19" t="str">
        <f>'original-n'!E22&amp;"."&amp;'original-n'!F22</f>
        <v>ПВС 4х6.Конкорд</v>
      </c>
      <c r="B16" s="93">
        <v>419210</v>
      </c>
    </row>
    <row r="17" spans="1:2" x14ac:dyDescent="0.25">
      <c r="A17" s="19" t="str">
        <f>'original-n'!E26&amp;"."&amp;'original-n'!F26</f>
        <v>ПВС 5х1,5.Конкорд</v>
      </c>
      <c r="B17" s="93">
        <v>419240</v>
      </c>
    </row>
    <row r="18" spans="1:2" x14ac:dyDescent="0.25">
      <c r="A18" s="19" t="str">
        <f>'original-n'!E27&amp;"."&amp;'original-n'!F27</f>
        <v>ПВС 5х2,5.Конкорд</v>
      </c>
      <c r="B18" s="93">
        <v>419250</v>
      </c>
    </row>
    <row r="19" spans="1:2" x14ac:dyDescent="0.25">
      <c r="A19" s="19" t="str">
        <f>'original-n'!E28&amp;"."&amp;'original-n'!F28</f>
        <v>ПВС 5х4.Конкорд</v>
      </c>
      <c r="B19" s="93">
        <v>419260</v>
      </c>
    </row>
    <row r="20" spans="1:2" x14ac:dyDescent="0.25">
      <c r="A20" s="19" t="str">
        <f>'original-n'!E29&amp;"."&amp;'original-n'!F29</f>
        <v>ПВС 5х6.Конкорд</v>
      </c>
      <c r="B20" s="93">
        <v>419270</v>
      </c>
    </row>
    <row r="21" spans="1:2" x14ac:dyDescent="0.25">
      <c r="A21" s="19" t="str">
        <f>'original-n'!E33&amp;"."&amp;'original-n'!F33</f>
        <v>ШВВП  2х0,5.Дмитров-Кабель</v>
      </c>
      <c r="B21" s="93">
        <v>129721</v>
      </c>
    </row>
    <row r="22" spans="1:2" x14ac:dyDescent="0.25">
      <c r="A22" s="19" t="str">
        <f>'original-n'!E34&amp;"."&amp;'original-n'!F34</f>
        <v>ШВВП  2х0,75.Дмитров-Кабель</v>
      </c>
      <c r="B22" s="93">
        <v>129722</v>
      </c>
    </row>
    <row r="23" spans="1:2" x14ac:dyDescent="0.25">
      <c r="A23" s="19" t="str">
        <f>'original-n'!E36&amp;"."&amp;'original-n'!F36</f>
        <v>КГ тп 1х16- 0,66.Конкорд</v>
      </c>
      <c r="B23" s="93">
        <v>259662</v>
      </c>
    </row>
    <row r="24" spans="1:2" x14ac:dyDescent="0.25">
      <c r="A24" s="19" t="str">
        <f>'original-n'!E37&amp;"."&amp;'original-n'!F37</f>
        <v>КГ тп 1х25- 0,66.Конкорд</v>
      </c>
      <c r="B24" s="93">
        <v>259664</v>
      </c>
    </row>
    <row r="25" spans="1:2" x14ac:dyDescent="0.25">
      <c r="A25" s="19" t="str">
        <f>'original-n'!E38&amp;"."&amp;'original-n'!F38</f>
        <v>КГ тп 1х35- 0,66.Конкорд</v>
      </c>
      <c r="B25" s="93">
        <v>259668</v>
      </c>
    </row>
    <row r="26" spans="1:2" x14ac:dyDescent="0.25">
      <c r="A26" s="19" t="str">
        <f>'original-n'!E39&amp;"."&amp;'original-n'!F39</f>
        <v>КГ тп 2х1,5- 0,66.Конкорд</v>
      </c>
      <c r="B26" s="93">
        <v>259670</v>
      </c>
    </row>
    <row r="27" spans="1:2" x14ac:dyDescent="0.25">
      <c r="A27" s="19" t="str">
        <f>'original-n'!E40&amp;"."&amp;'original-n'!F40</f>
        <v>КГ тп 2х2,5- 0,66.Конкорд</v>
      </c>
      <c r="B27" s="93">
        <v>259680</v>
      </c>
    </row>
    <row r="28" spans="1:2" x14ac:dyDescent="0.25">
      <c r="A28" s="19" t="str">
        <f>'original-n'!E41&amp;"."&amp;'original-n'!F41</f>
        <v>КГ тп 2х4- 0,66.Конкорд</v>
      </c>
      <c r="B28" s="93">
        <v>259690</v>
      </c>
    </row>
    <row r="29" spans="1:2" x14ac:dyDescent="0.25">
      <c r="A29" s="19" t="str">
        <f>'original-n'!E42&amp;"."&amp;'original-n'!F42</f>
        <v>КГ тп 3х1,5- 0,66.Конкорд</v>
      </c>
      <c r="B29" s="93">
        <v>259700</v>
      </c>
    </row>
    <row r="30" spans="1:2" x14ac:dyDescent="0.25">
      <c r="A30" s="19" t="str">
        <f>'original-n'!E43&amp;"."&amp;'original-n'!F43</f>
        <v>КГ тп 3х2,5- 0,66.Конкорд</v>
      </c>
      <c r="B30" s="93">
        <v>259710</v>
      </c>
    </row>
    <row r="31" spans="1:2" x14ac:dyDescent="0.25">
      <c r="A31" s="19" t="str">
        <f>'original-n'!E44&amp;"."&amp;'original-n'!F44</f>
        <v>КГ тп 3х4- 0,66.Конкорд</v>
      </c>
      <c r="B31" s="93">
        <v>259720</v>
      </c>
    </row>
    <row r="32" spans="1:2" x14ac:dyDescent="0.25">
      <c r="A32" s="19" t="str">
        <f>'original-n'!E45&amp;"."&amp;'original-n'!F45</f>
        <v>КГ тп 4х1,5- 0,66.Конкорд</v>
      </c>
      <c r="B32" s="93">
        <v>259730</v>
      </c>
    </row>
    <row r="33" spans="1:2" x14ac:dyDescent="0.25">
      <c r="A33" s="19" t="str">
        <f>'original-n'!E46&amp;"."&amp;'original-n'!F46</f>
        <v>КГ тп 4х2,5- 0,66.Конкорд</v>
      </c>
      <c r="B33" s="93">
        <v>259740</v>
      </c>
    </row>
    <row r="34" spans="1:2" x14ac:dyDescent="0.25">
      <c r="A34" s="19" t="str">
        <f>'original-n'!E47&amp;"."&amp;'original-n'!F47</f>
        <v>КГ тп 4х4- 0,66.Конкорд</v>
      </c>
      <c r="B34" s="93">
        <v>259750</v>
      </c>
    </row>
    <row r="35" spans="1:2" x14ac:dyDescent="0.25">
      <c r="A35" s="19" t="str">
        <f>'original-n'!E48&amp;"."&amp;'original-n'!F48</f>
        <v>КГ тп 4х6- 0,66.Конкорд</v>
      </c>
      <c r="B35" s="93">
        <v>259760</v>
      </c>
    </row>
    <row r="36" spans="1:2" x14ac:dyDescent="0.25">
      <c r="A36" s="19" t="str">
        <f>'original-n'!E49&amp;"."&amp;'original-n'!F49</f>
        <v>КГ тп 4х10- 0,66.Конкорд</v>
      </c>
      <c r="B36" s="93">
        <v>259764</v>
      </c>
    </row>
    <row r="37" spans="1:2" x14ac:dyDescent="0.25">
      <c r="A37" s="19" t="str">
        <f>'original-n'!E50&amp;"."&amp;'original-n'!F50</f>
        <v>КГ тп 4х16- 0,66.Конкорд</v>
      </c>
      <c r="B37" s="93">
        <v>259766</v>
      </c>
    </row>
    <row r="38" spans="1:2" x14ac:dyDescent="0.25">
      <c r="A38" s="19" t="str">
        <f>'original-n'!E51&amp;"."&amp;'original-n'!F51</f>
        <v>КГ тп 5х1,5- 0,66.Конкорд</v>
      </c>
      <c r="B38" s="93">
        <v>259770</v>
      </c>
    </row>
    <row r="39" spans="1:2" x14ac:dyDescent="0.25">
      <c r="A39" s="19" t="str">
        <f>'original-n'!E52&amp;"."&amp;'original-n'!F52</f>
        <v>КГ тп 5х2,5- 0,66.Конкорд</v>
      </c>
      <c r="B39" s="93">
        <v>259780</v>
      </c>
    </row>
    <row r="40" spans="1:2" x14ac:dyDescent="0.25">
      <c r="A40" s="19" t="str">
        <f>'original-n'!E53&amp;"."&amp;'original-n'!F53</f>
        <v>КГ тп 5х4- 0,66.Конкорд</v>
      </c>
      <c r="B40" s="93">
        <v>259790</v>
      </c>
    </row>
    <row r="41" spans="1:2" x14ac:dyDescent="0.25">
      <c r="A41" s="19" t="str">
        <f>'original-n'!E54&amp;"."&amp;'original-n'!F54</f>
        <v>КГ тп 5х6- 0,66.Конкорд</v>
      </c>
      <c r="B41" s="93">
        <v>259800</v>
      </c>
    </row>
    <row r="42" spans="1:2" x14ac:dyDescent="0.25">
      <c r="A42" s="19" t="str">
        <f>'original-n'!E55&amp;"."&amp;'original-n'!F55</f>
        <v>КГ тп 5х10- 0,66.Конкорд</v>
      </c>
      <c r="B42" s="93">
        <v>259810</v>
      </c>
    </row>
    <row r="43" spans="1:2" x14ac:dyDescent="0.25">
      <c r="A43" s="19" t="str">
        <f>'original-n'!E74&amp;"."&amp;'original-n'!F74</f>
        <v>ПБГВВ 2х1,5.ГОСТ</v>
      </c>
      <c r="B43" s="93">
        <v>525740</v>
      </c>
    </row>
    <row r="44" spans="1:2" x14ac:dyDescent="0.25">
      <c r="A44" s="19" t="str">
        <f>'original-n'!E75&amp;"."&amp;'original-n'!F75</f>
        <v>ПБГВВ 2х2,5.ГОСТ</v>
      </c>
      <c r="B44" s="93">
        <v>525745</v>
      </c>
    </row>
    <row r="45" spans="1:2" x14ac:dyDescent="0.25">
      <c r="A45" s="19" t="str">
        <f>'original-n'!E76&amp;"."&amp;'original-n'!F76</f>
        <v>ПБГВВ 3х1,5.ГОСТ</v>
      </c>
      <c r="B45" s="93">
        <v>525750</v>
      </c>
    </row>
    <row r="46" spans="1:2" x14ac:dyDescent="0.25">
      <c r="A46" s="19" t="str">
        <f>'original-n'!E77&amp;"."&amp;'original-n'!F77</f>
        <v>ПБГВВ 3х2,5.ГОСТ</v>
      </c>
      <c r="B46" s="93">
        <v>525755</v>
      </c>
    </row>
    <row r="47" spans="1:2" x14ac:dyDescent="0.25">
      <c r="A47" s="19" t="str">
        <f>'original-n'!I10&amp;"."&amp;'original-n'!J10</f>
        <v>NUM-O 2х1,5 - 0,66.Конкорд</v>
      </c>
      <c r="B47" s="93">
        <v>129650</v>
      </c>
    </row>
    <row r="48" spans="1:2" x14ac:dyDescent="0.25">
      <c r="A48" s="19" t="str">
        <f>'original-n'!I11&amp;"."&amp;'original-n'!J11</f>
        <v>NUM-O 2х2,5 - 0,66.Конкорд</v>
      </c>
      <c r="B48" s="93">
        <v>129660</v>
      </c>
    </row>
    <row r="49" spans="1:2" x14ac:dyDescent="0.25">
      <c r="A49" s="19" t="str">
        <f>'original-n'!I12&amp;"."&amp;'original-n'!J12</f>
        <v>NUM-J 3х1,5 - 0,66.Конкорд</v>
      </c>
      <c r="B49" s="93">
        <v>129670</v>
      </c>
    </row>
    <row r="50" spans="1:2" x14ac:dyDescent="0.25">
      <c r="A50" s="19" t="str">
        <f>'original-n'!I13&amp;"."&amp;'original-n'!J13</f>
        <v>NUM-J 3х2,5 - 0,66.Конкорд</v>
      </c>
      <c r="B50" s="93">
        <v>129680</v>
      </c>
    </row>
    <row r="51" spans="1:2" x14ac:dyDescent="0.25">
      <c r="A51" s="19" t="str">
        <f>'original-n'!I25&amp;"."&amp;'original-n'!J25</f>
        <v>ВВГ-Пнг(A)-LS 2х1,5.Дмитров-Кабель</v>
      </c>
      <c r="B51" s="93">
        <v>316520</v>
      </c>
    </row>
    <row r="52" spans="1:2" x14ac:dyDescent="0.25">
      <c r="A52" s="19" t="str">
        <f>'original-n'!I26&amp;"."&amp;'original-n'!J26</f>
        <v>ВВГ-Пнг(A)-LS 2х2,5.Дмитров-Кабель</v>
      </c>
      <c r="B52" s="93">
        <v>316530</v>
      </c>
    </row>
    <row r="53" spans="1:2" x14ac:dyDescent="0.25">
      <c r="A53" s="19" t="str">
        <f>'original-n'!I27&amp;"."&amp;'original-n'!J27</f>
        <v>ВВГ-Пнг(A)-LS 2х4.Дмитров-Кабель</v>
      </c>
      <c r="B53" s="93">
        <v>316535</v>
      </c>
    </row>
    <row r="54" spans="1:2" x14ac:dyDescent="0.25">
      <c r="A54" s="19" t="str">
        <f>'original-n'!I28&amp;"."&amp;'original-n'!J28</f>
        <v>ВВГ-Пнг(A)-LS 2х6.Дмитров-Кабель</v>
      </c>
      <c r="B54" s="93">
        <v>316537</v>
      </c>
    </row>
    <row r="55" spans="1:2" x14ac:dyDescent="0.25">
      <c r="A55" s="19" t="str">
        <f>'original-n'!I29&amp;"."&amp;'original-n'!J29</f>
        <v>ВВГ-Пнг(A)-LS 3х1,5.Дмитров-Кабель</v>
      </c>
      <c r="B55" s="93">
        <v>316540</v>
      </c>
    </row>
    <row r="56" spans="1:2" x14ac:dyDescent="0.25">
      <c r="A56" s="19" t="str">
        <f>'original-n'!I30&amp;"."&amp;'original-n'!J30</f>
        <v>ВВГ-Пнг(A)-LS 3х2,5.Дмитров-Кабель</v>
      </c>
      <c r="B56" s="93">
        <v>316550</v>
      </c>
    </row>
    <row r="57" spans="1:2" x14ac:dyDescent="0.25">
      <c r="A57" s="19" t="str">
        <f>'original-n'!I31&amp;"."&amp;'original-n'!J31</f>
        <v>ВВГ-Пнг(A)-LS 3х4.Дмитров-Кабель</v>
      </c>
      <c r="B57" s="93">
        <v>451410</v>
      </c>
    </row>
    <row r="58" spans="1:2" x14ac:dyDescent="0.25">
      <c r="A58" s="19" t="str">
        <f>'original-n'!I32&amp;"."&amp;'original-n'!J32</f>
        <v>ВВГ-Пнг(A)-LS 3х6.Дмитров-Кабель</v>
      </c>
      <c r="B58" s="93">
        <v>451420</v>
      </c>
    </row>
    <row r="59" spans="1:2" x14ac:dyDescent="0.25">
      <c r="A59" s="19" t="str">
        <f>'original-n'!I33&amp;"."&amp;'original-n'!J33</f>
        <v>ВВГнг(A)-LS 4х1,5.Дмитров-Кабель</v>
      </c>
      <c r="B59" s="93">
        <v>451430</v>
      </c>
    </row>
    <row r="60" spans="1:2" x14ac:dyDescent="0.25">
      <c r="A60" s="19" t="str">
        <f>'original-n'!I34&amp;"."&amp;'original-n'!J34</f>
        <v>ВВГнг(A)-LS 4х2,5.Дмитров-Кабель</v>
      </c>
      <c r="B60" s="93">
        <v>451440</v>
      </c>
    </row>
    <row r="61" spans="1:2" x14ac:dyDescent="0.25">
      <c r="A61" s="19" t="str">
        <f>'original-n'!I35&amp;"."&amp;'original-n'!J35</f>
        <v>ВВГнг(A)-LS 4х4.Дмитров-Кабель</v>
      </c>
      <c r="B61" s="93">
        <v>451450</v>
      </c>
    </row>
    <row r="62" spans="1:2" x14ac:dyDescent="0.25">
      <c r="A62" s="19" t="str">
        <f>'original-n'!I36&amp;"."&amp;'original-n'!J36</f>
        <v>ВВГнг(A)-LS 4х6.Дмитров-Кабель</v>
      </c>
      <c r="B62" s="93">
        <v>451460</v>
      </c>
    </row>
    <row r="63" spans="1:2" x14ac:dyDescent="0.25">
      <c r="A63" s="19" t="str">
        <f>'original-n'!I37&amp;"."&amp;'original-n'!J37</f>
        <v>ВВГнг(A)-LS 5х1,5.Дмитров-Кабель</v>
      </c>
      <c r="B63" s="93">
        <v>451470</v>
      </c>
    </row>
    <row r="64" spans="1:2" x14ac:dyDescent="0.25">
      <c r="A64" s="19" t="str">
        <f>'original-n'!I38&amp;"."&amp;'original-n'!J38</f>
        <v>ВВГнг(A)-LS 5х2,5.Дмитров-Кабель</v>
      </c>
      <c r="B64" s="93">
        <v>451480</v>
      </c>
    </row>
    <row r="65" spans="1:2" x14ac:dyDescent="0.25">
      <c r="A65" s="19" t="str">
        <f>'original-n'!I39&amp;"."&amp;'original-n'!J39</f>
        <v>ВВГнг(A)-LS 5х4.Дмитров-Кабель</v>
      </c>
      <c r="B65" s="93">
        <v>451490</v>
      </c>
    </row>
    <row r="66" spans="1:2" x14ac:dyDescent="0.25">
      <c r="A66" s="19" t="str">
        <f>'original-n'!I40&amp;"."&amp;'original-n'!J40</f>
        <v>ВВГнг(A)-LS 5х6.Дмитров-Кабель</v>
      </c>
      <c r="B66" s="93">
        <v>451500</v>
      </c>
    </row>
    <row r="67" spans="1:2" x14ac:dyDescent="0.25">
      <c r="A67" s="19" t="str">
        <f>'original-n'!I42&amp;"."&amp;'original-n'!J42</f>
        <v>ВБШв 3*1,5 -0,66.ГОСТ</v>
      </c>
      <c r="B67" s="93" t="s">
        <v>208</v>
      </c>
    </row>
    <row r="68" spans="1:2" x14ac:dyDescent="0.25">
      <c r="A68" s="19" t="str">
        <f>'original-n'!I43&amp;"."&amp;'original-n'!J43</f>
        <v>ВБШв 3*2,5 -0,66.ГОСТ</v>
      </c>
      <c r="B68" s="93" t="s">
        <v>209</v>
      </c>
    </row>
    <row r="69" spans="1:2" x14ac:dyDescent="0.25">
      <c r="A69" s="19" t="str">
        <f>'original-n'!I44&amp;"."&amp;'original-n'!J44</f>
        <v>ВБШв 3*4 -0,66.ГОСТ</v>
      </c>
      <c r="B69" s="93" t="s">
        <v>210</v>
      </c>
    </row>
    <row r="70" spans="1:2" x14ac:dyDescent="0.25">
      <c r="A70" s="19" t="str">
        <f>'original-n'!I45&amp;"."&amp;'original-n'!J45</f>
        <v>ВБШв 3*6 -0,66.ГОСТ</v>
      </c>
      <c r="B70" s="93" t="s">
        <v>211</v>
      </c>
    </row>
    <row r="71" spans="1:2" x14ac:dyDescent="0.25">
      <c r="A71" s="19" t="str">
        <f>'original-n'!I46&amp;"."&amp;'original-n'!J46</f>
        <v>ВБШв 3*10 -0,66.ГОСТ</v>
      </c>
      <c r="B71" s="93" t="s">
        <v>212</v>
      </c>
    </row>
    <row r="72" spans="1:2" x14ac:dyDescent="0.25">
      <c r="A72" s="19" t="str">
        <f>'original-n'!I48&amp;"."&amp;'original-n'!J48</f>
        <v>ВБШв 4*4 -0,66.ГОСТ</v>
      </c>
      <c r="B72" s="93" t="s">
        <v>213</v>
      </c>
    </row>
    <row r="73" spans="1:2" x14ac:dyDescent="0.25">
      <c r="A73" s="19" t="str">
        <f>'original-n'!I49&amp;"."&amp;'original-n'!J49</f>
        <v>ВБШв 4*6 -0,66.ГОСТ</v>
      </c>
      <c r="B73" s="93" t="s">
        <v>214</v>
      </c>
    </row>
    <row r="74" spans="1:2" x14ac:dyDescent="0.25">
      <c r="A74" s="19" t="str">
        <f>'original-n'!I50&amp;"."&amp;'original-n'!J50</f>
        <v>ВБШв 4*10 -0,66.ГОСТ</v>
      </c>
      <c r="B74" s="93" t="s">
        <v>215</v>
      </c>
    </row>
    <row r="75" spans="1:2" x14ac:dyDescent="0.25">
      <c r="A75" s="19" t="str">
        <f>'original-n'!I51&amp;"."&amp;'original-n'!J51</f>
        <v>ВБШв 4*16 -0,66.ГОСТ</v>
      </c>
      <c r="B75" s="93" t="s">
        <v>216</v>
      </c>
    </row>
    <row r="76" spans="1:2" x14ac:dyDescent="0.25">
      <c r="A76" s="19" t="str">
        <f>'original-n'!I53&amp;"."&amp;'original-n'!J53</f>
        <v>ВБШв 5*1,5 -0,66.ГОСТ</v>
      </c>
      <c r="B76" s="93" t="s">
        <v>217</v>
      </c>
    </row>
    <row r="77" spans="1:2" x14ac:dyDescent="0.25">
      <c r="A77" s="19" t="str">
        <f>'original-n'!I54&amp;"."&amp;'original-n'!J54</f>
        <v>ВБШв 5*2,5 -0,66.ГОСТ</v>
      </c>
      <c r="B77" s="93" t="s">
        <v>218</v>
      </c>
    </row>
    <row r="78" spans="1:2" x14ac:dyDescent="0.25">
      <c r="A78" s="19" t="str">
        <f>'original-n'!I55&amp;"."&amp;'original-n'!J55</f>
        <v>ВБШв 5*4 -0,66.ГОСТ</v>
      </c>
      <c r="B78" s="93" t="s">
        <v>219</v>
      </c>
    </row>
    <row r="79" spans="1:2" x14ac:dyDescent="0.25">
      <c r="A79" s="19" t="str">
        <f>'original-n'!I56&amp;"."&amp;'original-n'!J56</f>
        <v>ВБШв 5*6 -0,66.ГОСТ</v>
      </c>
      <c r="B79" s="93" t="s">
        <v>220</v>
      </c>
    </row>
    <row r="80" spans="1:2" x14ac:dyDescent="0.25">
      <c r="A80" s="19" t="str">
        <f>'original-n'!I57&amp;"."&amp;'original-n'!J57</f>
        <v>ВБШв 5*10 -0,66.ГОСТ</v>
      </c>
      <c r="B80" s="93" t="s">
        <v>221</v>
      </c>
    </row>
    <row r="81" spans="1:2" x14ac:dyDescent="0.25">
      <c r="A81" s="19" t="str">
        <f>'original-n'!I58&amp;"."&amp;'original-n'!J58</f>
        <v>ВБШв 5*16 -0,66.ГОСТ</v>
      </c>
      <c r="B81" s="93" t="s">
        <v>222</v>
      </c>
    </row>
    <row r="82" spans="1:2" x14ac:dyDescent="0.25">
      <c r="A82" s="19" t="str">
        <f>'original-n'!I66&amp;"."&amp;'original-n'!J66</f>
        <v>РКГМ 1,5.ГОСТ</v>
      </c>
      <c r="B82" s="93">
        <v>451330</v>
      </c>
    </row>
    <row r="83" spans="1:2" x14ac:dyDescent="0.25">
      <c r="A83" s="19" t="str">
        <f>'original-n'!I67&amp;"."&amp;'original-n'!J67</f>
        <v>РКГМ 2,5.ГОСТ</v>
      </c>
      <c r="B83" s="93">
        <v>451340</v>
      </c>
    </row>
    <row r="84" spans="1:2" x14ac:dyDescent="0.25">
      <c r="A84" s="19" t="str">
        <f>'original-n'!I68&amp;"."&amp;'original-n'!J68</f>
        <v>РКГМ 4.ГОСТ</v>
      </c>
      <c r="B84" s="93">
        <v>451350</v>
      </c>
    </row>
    <row r="85" spans="1:2" x14ac:dyDescent="0.25">
      <c r="A85" s="19" t="str">
        <f>'original-n'!I69&amp;"."&amp;'original-n'!J69</f>
        <v>РКГМ 6.ГОСТ</v>
      </c>
      <c r="B85" s="93">
        <v>451360</v>
      </c>
    </row>
    <row r="86" spans="1:2" x14ac:dyDescent="0.25">
      <c r="A86" s="19" t="s">
        <v>224</v>
      </c>
      <c r="B86" s="93">
        <v>451190</v>
      </c>
    </row>
    <row r="87" spans="1:2" x14ac:dyDescent="0.25">
      <c r="A87" s="19" t="s">
        <v>224</v>
      </c>
      <c r="B87" s="93">
        <v>451200</v>
      </c>
    </row>
    <row r="88" spans="1:2" x14ac:dyDescent="0.25">
      <c r="A88" s="19" t="s">
        <v>224</v>
      </c>
      <c r="B88" s="93">
        <v>451210</v>
      </c>
    </row>
    <row r="89" spans="1:2" x14ac:dyDescent="0.25">
      <c r="A89" s="19" t="s">
        <v>224</v>
      </c>
      <c r="B89" s="93">
        <v>451220</v>
      </c>
    </row>
    <row r="90" spans="1:2" x14ac:dyDescent="0.25">
      <c r="A90" s="19" t="s">
        <v>224</v>
      </c>
      <c r="B90" s="93">
        <v>451230</v>
      </c>
    </row>
    <row r="91" spans="1:2" x14ac:dyDescent="0.25">
      <c r="A91" s="19" t="s">
        <v>225</v>
      </c>
      <c r="B91" s="93">
        <v>451240</v>
      </c>
    </row>
    <row r="92" spans="1:2" x14ac:dyDescent="0.25">
      <c r="A92" s="19" t="s">
        <v>225</v>
      </c>
      <c r="B92" s="93">
        <v>451250</v>
      </c>
    </row>
    <row r="93" spans="1:2" x14ac:dyDescent="0.25">
      <c r="A93" s="19" t="s">
        <v>225</v>
      </c>
      <c r="B93" s="93">
        <v>451260</v>
      </c>
    </row>
    <row r="94" spans="1:2" x14ac:dyDescent="0.25">
      <c r="A94" s="19" t="s">
        <v>225</v>
      </c>
      <c r="B94" s="93">
        <v>451270</v>
      </c>
    </row>
    <row r="95" spans="1:2" x14ac:dyDescent="0.25">
      <c r="A95" s="19" t="s">
        <v>225</v>
      </c>
      <c r="B95" s="93">
        <v>451280</v>
      </c>
    </row>
    <row r="96" spans="1:2" x14ac:dyDescent="0.25">
      <c r="A96" s="19" t="s">
        <v>226</v>
      </c>
      <c r="B96" s="93">
        <v>451290</v>
      </c>
    </row>
    <row r="97" spans="1:2" x14ac:dyDescent="0.25">
      <c r="A97" s="19" t="s">
        <v>226</v>
      </c>
      <c r="B97" s="93">
        <v>451292</v>
      </c>
    </row>
    <row r="98" spans="1:2" x14ac:dyDescent="0.25">
      <c r="A98" s="19" t="s">
        <v>226</v>
      </c>
      <c r="B98" s="93">
        <v>451294</v>
      </c>
    </row>
    <row r="99" spans="1:2" x14ac:dyDescent="0.25">
      <c r="A99" s="19" t="s">
        <v>226</v>
      </c>
      <c r="B99" s="93">
        <v>451296</v>
      </c>
    </row>
    <row r="100" spans="1:2" x14ac:dyDescent="0.25">
      <c r="A100" s="19" t="s">
        <v>226</v>
      </c>
      <c r="B100" s="93">
        <v>451298</v>
      </c>
    </row>
    <row r="101" spans="1:2" x14ac:dyDescent="0.25">
      <c r="A101" s="19" t="s">
        <v>227</v>
      </c>
      <c r="B101" s="93">
        <v>451300</v>
      </c>
    </row>
    <row r="102" spans="1:2" x14ac:dyDescent="0.25">
      <c r="A102" s="19" t="s">
        <v>227</v>
      </c>
      <c r="B102" s="93">
        <v>451304</v>
      </c>
    </row>
    <row r="103" spans="1:2" x14ac:dyDescent="0.25">
      <c r="A103" s="19" t="s">
        <v>227</v>
      </c>
      <c r="B103" s="93">
        <v>451306</v>
      </c>
    </row>
    <row r="104" spans="1:2" x14ac:dyDescent="0.25">
      <c r="A104" s="19" t="s">
        <v>227</v>
      </c>
      <c r="B104" s="93">
        <v>451307</v>
      </c>
    </row>
    <row r="105" spans="1:2" x14ac:dyDescent="0.25">
      <c r="A105" s="19" t="s">
        <v>227</v>
      </c>
      <c r="B105" s="93">
        <v>451308</v>
      </c>
    </row>
    <row r="106" spans="1:2" x14ac:dyDescent="0.25">
      <c r="A106" s="19" t="s">
        <v>228</v>
      </c>
      <c r="B106" s="93">
        <v>451310</v>
      </c>
    </row>
    <row r="107" spans="1:2" x14ac:dyDescent="0.25">
      <c r="A107" s="19" t="s">
        <v>228</v>
      </c>
      <c r="B107" s="93">
        <v>451312</v>
      </c>
    </row>
    <row r="108" spans="1:2" x14ac:dyDescent="0.25">
      <c r="A108" s="19" t="s">
        <v>228</v>
      </c>
      <c r="B108" s="93">
        <v>451314</v>
      </c>
    </row>
    <row r="109" spans="1:2" x14ac:dyDescent="0.25">
      <c r="A109" s="19" t="s">
        <v>228</v>
      </c>
      <c r="B109" s="93">
        <v>451316</v>
      </c>
    </row>
    <row r="110" spans="1:2" x14ac:dyDescent="0.25">
      <c r="A110" s="19" t="s">
        <v>228</v>
      </c>
      <c r="B110" s="93">
        <v>451318</v>
      </c>
    </row>
    <row r="111" spans="1:2" x14ac:dyDescent="0.25">
      <c r="A111" s="19" t="s">
        <v>229</v>
      </c>
      <c r="B111" s="93">
        <v>451320</v>
      </c>
    </row>
    <row r="112" spans="1:2" x14ac:dyDescent="0.25">
      <c r="A112" s="19" t="s">
        <v>229</v>
      </c>
      <c r="B112" s="93">
        <v>451325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original-bn</vt:lpstr>
      <vt:lpstr>original-n</vt:lpstr>
      <vt:lpstr>codes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Антон Рыбаков</dc:creator>
  <cp:lastModifiedBy>Пользователь</cp:lastModifiedBy>
  <cp:lastPrinted>2023-07-14T08:19:09Z</cp:lastPrinted>
  <dcterms:created xsi:type="dcterms:W3CDTF">2018-03-26T06:42:38Z</dcterms:created>
  <dcterms:modified xsi:type="dcterms:W3CDTF">2023-08-17T08:02:52Z</dcterms:modified>
</cp:coreProperties>
</file>